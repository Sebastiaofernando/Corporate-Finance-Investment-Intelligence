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ebas"/>
  <workbookPr/>
  <bookViews>
    <workbookView activeTab="0" xWindow="240" yWindow="60" windowWidth="0" windowHeight="0" tabRatio="500"/>
  </bookViews>
  <sheets>
    <sheet name="README" sheetId="1" r:id="rId4"/>
    <sheet name="tbEmpresas" sheetId="2" r:id="rId5"/>
    <sheet name="tbAtivos" sheetId="3" r:id="rId6"/>
    <sheet name="tbPrecosMercado" sheetId="4" r:id="rId7"/>
    <sheet name="tbMovimentos" sheetId="5" r:id="rId8"/>
    <sheet name="tbCarteiraInvestimento" sheetId="6" r:id="rId9"/>
    <sheet name="Base_DRE" sheetId="7" r:id="rId10"/>
    <sheet name="Base_BP" sheetId="8" r:id="rId11"/>
    <sheet name="Base_DFC" sheetId="9" r:id="rId12"/>
    <sheet name="Indicadores" sheetId="10" r:id="rId13"/>
    <sheet name="Dashboard" sheetId="11" r:id="rId14"/>
  </sheets>
  <definedNames>
    <definedName name="_xlnm._FilterDatabase" localSheetId="1" hidden="1">tbEmpresas!$B$3:$L$8</definedName>
    <definedName name="_xlnm._FilterDatabase" localSheetId="2" hidden="1">tbAtivos!$C$3:$G$4</definedName>
    <definedName name="_xlnm._FilterDatabase" localSheetId="3" hidden="1">tbPrecosMercado!$D$15:$D$30</definedName>
  </definedNames>
  <calcPr/>
  <extLst>
    <ext uri="smNativeData">
      <pm:revision xmlns:pm="smNativeData" day="1792887725" val="1238" rev="124" revOS="4" revMin="124" revMax="0"/>
      <pm:docPrefs xmlns:pm="smNativeData" id="1792887725" fixedDigits="0" showNotice="1" showFrameBounds="1" autoChart="1" recalcOnPrint="1" recalcOnCopy="1" compatTextArt="1" tab="567" useDefinedPrintRange="1" printArea="currentSheet"/>
      <pm:compatibility xmlns:pm="smNativeData" id="1792887725" overlapCells="1"/>
      <pm:defCurrency xmlns:pm="smNativeData" id="1792887725"/>
    </ext>
  </extLst>
</workbook>
</file>

<file path=xl/sharedStrings.xml><?xml version="1.0" encoding="utf-8"?>
<sst xmlns="http://schemas.openxmlformats.org/spreadsheetml/2006/main" count="496" uniqueCount="218">
  <si>
    <t>Objetivos do projeto:</t>
  </si>
  <si>
    <t>Desenvolver competências práticas de Excel aplicado às finanças.</t>
  </si>
  <si>
    <t>Organizar e relacionar base de dados empresariais e financeiras.</t>
  </si>
  <si>
    <t>Clacular indicadores de desempenho financeiro.</t>
  </si>
  <si>
    <t>Analisar demonstrações financeiras e uma carteira de investimentos simulada.</t>
  </si>
  <si>
    <t>Construir Dashboard para facilitar a interpretação dos resultados.</t>
  </si>
  <si>
    <t>Demonstrar competências analíticas relevantes para oprotunidades nas áreas de Finançãs, Contabilidade e  Dados.</t>
  </si>
  <si>
    <t>tbEmpresas</t>
  </si>
  <si>
    <t>ID_Empresa</t>
  </si>
  <si>
    <t>Nome_Empresa</t>
  </si>
  <si>
    <t>CNPJ</t>
  </si>
  <si>
    <t>Ticker</t>
  </si>
  <si>
    <t>Setor</t>
  </si>
  <si>
    <t>Segmento</t>
  </si>
  <si>
    <t>País</t>
  </si>
  <si>
    <t>Bolsa</t>
  </si>
  <si>
    <t>Tipo_Dado</t>
  </si>
  <si>
    <t>Fonte</t>
  </si>
  <si>
    <t>Data_Atualizacao</t>
  </si>
  <si>
    <t>EMP001</t>
  </si>
  <si>
    <t>Petrobras</t>
  </si>
  <si>
    <t>33.000.167/0001-01</t>
  </si>
  <si>
    <t>PETR4</t>
  </si>
  <si>
    <t>Petróleo e gás</t>
  </si>
  <si>
    <t>Energia</t>
  </si>
  <si>
    <t>Brasil</t>
  </si>
  <si>
    <t>B3</t>
  </si>
  <si>
    <t>Real</t>
  </si>
  <si>
    <t>EMP002</t>
  </si>
  <si>
    <t>Vale</t>
  </si>
  <si>
    <t>33.592.510/0001-54</t>
  </si>
  <si>
    <t>VALE3</t>
  </si>
  <si>
    <t>Mineração</t>
  </si>
  <si>
    <t>EMP003</t>
  </si>
  <si>
    <t>Itaú Unibanco</t>
  </si>
  <si>
    <t>60.872.504/0001-23</t>
  </si>
  <si>
    <t>ITUB4</t>
  </si>
  <si>
    <t>Financeiro</t>
  </si>
  <si>
    <t>Bancos</t>
  </si>
  <si>
    <t>EMP004</t>
  </si>
  <si>
    <t>Ambev</t>
  </si>
  <si>
    <t>07.526.557/0001-00</t>
  </si>
  <si>
    <t>ABEV3</t>
  </si>
  <si>
    <t>Consumo</t>
  </si>
  <si>
    <t>Bebidas</t>
  </si>
  <si>
    <t>EMP005</t>
  </si>
  <si>
    <t>WEG</t>
  </si>
  <si>
    <t>84.429.695/0001-11</t>
  </si>
  <si>
    <t>WEGE3</t>
  </si>
  <si>
    <t>Indústria</t>
  </si>
  <si>
    <t>Equipamentos elétricos</t>
  </si>
  <si>
    <t>tbAtivos</t>
  </si>
  <si>
    <t>ID_Ativo</t>
  </si>
  <si>
    <t>ATI001</t>
  </si>
  <si>
    <t>ATI002</t>
  </si>
  <si>
    <t>ATI003</t>
  </si>
  <si>
    <t>ATI004</t>
  </si>
  <si>
    <t>ATI005</t>
  </si>
  <si>
    <t>Nome_Ativo</t>
  </si>
  <si>
    <t>Petrobras PN</t>
  </si>
  <si>
    <t>Vale ON</t>
  </si>
  <si>
    <t>Itaú Unibanco PN</t>
  </si>
  <si>
    <t>Ambev ON</t>
  </si>
  <si>
    <t>WEG ON</t>
  </si>
  <si>
    <t>Classe_Ativo</t>
  </si>
  <si>
    <t>Ação</t>
  </si>
  <si>
    <t>Tipo_Ativo</t>
  </si>
  <si>
    <t>Renda Variável</t>
  </si>
  <si>
    <t>Renda variável</t>
  </si>
  <si>
    <t>Mercado</t>
  </si>
  <si>
    <t>Moeda</t>
  </si>
  <si>
    <t>BRL</t>
  </si>
  <si>
    <t xml:space="preserve">Mineração </t>
  </si>
  <si>
    <t>tbPrecosMercado</t>
  </si>
  <si>
    <t>Petrobras - 01/09/2026</t>
  </si>
  <si>
    <t>Petrobras - 02/09/2026</t>
  </si>
  <si>
    <t>Petrobras - 03/09/2026</t>
  </si>
  <si>
    <t>Itaú Unibanco - 01/09/2026</t>
  </si>
  <si>
    <t>Itaú Unibanco - 02/09/2026</t>
  </si>
  <si>
    <t>Itaú Unibanco - 03/09/2026</t>
  </si>
  <si>
    <t>Vale - 01/09/2026</t>
  </si>
  <si>
    <t>Vale - 02/09/2026</t>
  </si>
  <si>
    <t>Vale - 03/09/2026</t>
  </si>
  <si>
    <t>Ambev - 01/09/2026</t>
  </si>
  <si>
    <t>Ambev - 02/09/2026</t>
  </si>
  <si>
    <t>Ambev - 03/09/2026</t>
  </si>
  <si>
    <t>Weg - 01/09/2026</t>
  </si>
  <si>
    <t>Weg - 02/09/2026</t>
  </si>
  <si>
    <t>Weg - 03/09/2026</t>
  </si>
  <si>
    <t>ID_Preco</t>
  </si>
  <si>
    <t>PRE001</t>
  </si>
  <si>
    <t>PRE002</t>
  </si>
  <si>
    <t>PRE003</t>
  </si>
  <si>
    <t>PRE007</t>
  </si>
  <si>
    <t>PRE008</t>
  </si>
  <si>
    <t>PRE009</t>
  </si>
  <si>
    <t>PRE004</t>
  </si>
  <si>
    <t>PRE005</t>
  </si>
  <si>
    <t>PRE006</t>
  </si>
  <si>
    <t>PRE010</t>
  </si>
  <si>
    <t>PRE011</t>
  </si>
  <si>
    <t>PRE012</t>
  </si>
  <si>
    <t>PRE013</t>
  </si>
  <si>
    <t>PRE014</t>
  </si>
  <si>
    <t>PRE015</t>
  </si>
  <si>
    <t>Data</t>
  </si>
  <si>
    <t>preco_Fechamento</t>
  </si>
  <si>
    <t>Volume</t>
  </si>
  <si>
    <t>Fictício</t>
  </si>
  <si>
    <t>Simulação</t>
  </si>
  <si>
    <t>Preco_Fechamento</t>
  </si>
  <si>
    <t>ID_Movimento</t>
  </si>
  <si>
    <t xml:space="preserve">Data </t>
  </si>
  <si>
    <t>Tipo_Movimento</t>
  </si>
  <si>
    <t>Quantidade</t>
  </si>
  <si>
    <t>Preco_Unitario</t>
  </si>
  <si>
    <t>Taxas</t>
  </si>
  <si>
    <t>Valor_Total</t>
  </si>
  <si>
    <t>MOV001</t>
  </si>
  <si>
    <t>Compra</t>
  </si>
  <si>
    <t>MOV002</t>
  </si>
  <si>
    <t>MOV003</t>
  </si>
  <si>
    <t>MOV004</t>
  </si>
  <si>
    <t>Venda</t>
  </si>
  <si>
    <t>MOV005</t>
  </si>
  <si>
    <t>ID_Posicao</t>
  </si>
  <si>
    <t>Quantidade_Comprada</t>
  </si>
  <si>
    <t>Quantidade_Vendida</t>
  </si>
  <si>
    <t>Quantidade_Atual</t>
  </si>
  <si>
    <t>Preco_Medio_Compra</t>
  </si>
  <si>
    <t>Valor_Investido</t>
  </si>
  <si>
    <t>Preco_Atual</t>
  </si>
  <si>
    <t>Valor_Mercado</t>
  </si>
  <si>
    <t>Lucro_Prejuizo</t>
  </si>
  <si>
    <t>Rentabilidade</t>
  </si>
  <si>
    <t>POS001</t>
  </si>
  <si>
    <t>POS002</t>
  </si>
  <si>
    <t>POS003</t>
  </si>
  <si>
    <t>POS004</t>
  </si>
  <si>
    <t>POS005</t>
  </si>
  <si>
    <t>ID_DRE</t>
  </si>
  <si>
    <t>Periodo</t>
  </si>
  <si>
    <t>Receita_Bruta</t>
  </si>
  <si>
    <t>Deducoes</t>
  </si>
  <si>
    <t>Receita_Líquida</t>
  </si>
  <si>
    <t>Custos</t>
  </si>
  <si>
    <t>Lucro_Bruto</t>
  </si>
  <si>
    <t>Despesas_Operacionais</t>
  </si>
  <si>
    <t>Resultado_Operacional</t>
  </si>
  <si>
    <t>Impostos</t>
  </si>
  <si>
    <t>Resultado_Líquido</t>
  </si>
  <si>
    <t>DRE001</t>
  </si>
  <si>
    <t>DRE002</t>
  </si>
  <si>
    <t>DRE003</t>
  </si>
  <si>
    <t>DRE004</t>
  </si>
  <si>
    <t>DRE005</t>
  </si>
  <si>
    <t>ID_BP</t>
  </si>
  <si>
    <t>Ativo_Circulante</t>
  </si>
  <si>
    <t>Ativo_Não_Circulante</t>
  </si>
  <si>
    <t>Ativo_Total</t>
  </si>
  <si>
    <t>Passivo_Circulante</t>
  </si>
  <si>
    <t>Passivo_Não_Circulante</t>
  </si>
  <si>
    <t>Passivo_Total</t>
  </si>
  <si>
    <t>Patrimonio_Liquido</t>
  </si>
  <si>
    <t>Passivo_PL_Total</t>
  </si>
  <si>
    <t>Conferencia</t>
  </si>
  <si>
    <t>BP001</t>
  </si>
  <si>
    <t>BP002</t>
  </si>
  <si>
    <t>BP003</t>
  </si>
  <si>
    <t>BP004</t>
  </si>
  <si>
    <t>BP005</t>
  </si>
  <si>
    <t>ID_Fluxo</t>
  </si>
  <si>
    <t>Entradas_Operacionais</t>
  </si>
  <si>
    <t>Saidas_Operacionais</t>
  </si>
  <si>
    <t>Fluxo_Operacional</t>
  </si>
  <si>
    <t>Entradas_Investimento</t>
  </si>
  <si>
    <t>Saidas_Investimento</t>
  </si>
  <si>
    <t>Fluxo_Investimento</t>
  </si>
  <si>
    <t>Entradas_Financiamento</t>
  </si>
  <si>
    <t>Saidas_Financiamento</t>
  </si>
  <si>
    <t>Fluxo_Financiamento</t>
  </si>
  <si>
    <t>Fluxo_Liquido</t>
  </si>
  <si>
    <t>FLX001</t>
  </si>
  <si>
    <t>FLX002</t>
  </si>
  <si>
    <t>FLX003</t>
  </si>
  <si>
    <t>FLX004</t>
  </si>
  <si>
    <t>FLX005</t>
  </si>
  <si>
    <t>Indicador</t>
  </si>
  <si>
    <t>Resultado</t>
  </si>
  <si>
    <t>Receita_Liquida_Total</t>
  </si>
  <si>
    <t>Lucro_Liquido_Total</t>
  </si>
  <si>
    <t>Fluxo_De_Caixa_Liquido_Total</t>
  </si>
  <si>
    <t>Ativos_Totais</t>
  </si>
  <si>
    <t>Passivos_Totais</t>
  </si>
  <si>
    <t>Patrimoio_Liquido_Total</t>
  </si>
  <si>
    <t>Empresas_Analisadas</t>
  </si>
  <si>
    <t>Indicadores_De_Desempenho</t>
  </si>
  <si>
    <t>Margem_Liquida_Consolidada</t>
  </si>
  <si>
    <t>Margem_Operacional_Consolidada</t>
  </si>
  <si>
    <t>Rentabilidade_Da_Carteira</t>
  </si>
  <si>
    <t>Ativos_Sobre_Passivos</t>
  </si>
  <si>
    <t>Empresas_Com_Lucro_Positivo</t>
  </si>
  <si>
    <t>Empresas_Com_Fluxo_De_Caixa_Positivo</t>
  </si>
  <si>
    <t>CORPORATE FINANCE &amp; INVESTMENT INTELLIGENCE</t>
  </si>
  <si>
    <t>Análise financeira e de investimentos | Dados fictícios | Setembro de 2026</t>
  </si>
  <si>
    <t>RECEITA LÍQUIDA TOTAL</t>
  </si>
  <si>
    <t>LUCRO LÍQUIDO TOTAL</t>
  </si>
  <si>
    <t>FLUXO DE CAIXA LÍQUIDO</t>
  </si>
  <si>
    <t>EMPRESAS ANALISADAS</t>
  </si>
  <si>
    <t>MARGEM OPERACIONAL</t>
  </si>
  <si>
    <t>RENTABILIDADE DA CARTEIRA</t>
  </si>
  <si>
    <t>Empresa</t>
  </si>
  <si>
    <t>Lucro Líquido</t>
  </si>
  <si>
    <t>Petrobras (PETR4)</t>
  </si>
  <si>
    <t>Vale (VALE3)</t>
  </si>
  <si>
    <t>Itaú (ITUB4)</t>
  </si>
  <si>
    <t>Ambev (ABEV3)</t>
  </si>
  <si>
    <t>WEG (WEGE3)</t>
  </si>
</sst>
</file>

<file path=xl/styles.xml><?xml version="1.0" encoding="utf-8"?>
<styleSheet xmlns="http://schemas.openxmlformats.org/spreadsheetml/2006/main">
  <numFmts count="14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DD/MM/YYYY;@"/>
    <numFmt numFmtId="165" formatCode="_-[$R$-416]* #,##0.00_ ;_-[$R$-416]* \-#,##0.00\ ;_-[$R$-416]* &quot;-&quot;??_ ;_-@_ "/>
    <numFmt numFmtId="4" formatCode="#,##0.00"/>
    <numFmt numFmtId="166" formatCode="[$R$-416]\ #,##0.00"/>
    <numFmt numFmtId="167" formatCode="#,##0.00%"/>
    <numFmt numFmtId="9" formatCode="0%"/>
  </numFmts>
  <fonts count="10">
    <font>
      <name val="Arial"/>
      <family val="2"/>
      <color rgb="FF000000"/>
      <sz val="10"/>
      <extLst>
        <ext uri="smNativeData">
          <pm:charSpec xmlns:pm="smNativeData" id="179288772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Microsoft JhengHei UI"/>
      <family val="2"/>
      <b/>
      <color rgb="FF000000"/>
      <sz val="12"/>
      <extLst>
        <ext uri="smNativeData">
          <pm:charSpec xmlns:pm="smNativeData" id="1792887725" ulstyle="none" kern="1">
            <pm:latin face="Microsoft JhengHei UI" sz="240" lang="default" weight="bold"/>
            <pm:cs face="Times New Roman" sz="240" lang="default"/>
            <pm:ea face="SimSun" sz="240" lang="default"/>
          </pm:charSpec>
        </ext>
      </extLst>
    </font>
    <font>
      <name val="Consolas"/>
      <family val="3"/>
      <b/>
      <color rgb="FF000000"/>
      <sz val="10"/>
      <extLst>
        <ext uri="smNativeData">
          <pm:charSpec xmlns:pm="smNativeData" id="1792887725" ulstyle="none" kern="1">
            <pm:latin face="Consolas" sz="200" lang="default" weight="bold"/>
            <pm:cs face="Times New Roman" sz="200" lang="default"/>
            <pm:ea face="SimSun" sz="200" lang="default"/>
          </pm:charSpec>
        </ext>
      </extLst>
    </font>
    <font>
      <name val="Calibri Light"/>
      <family val="2"/>
      <color rgb="FF000000"/>
      <sz val="10"/>
      <extLst>
        <ext uri="smNativeData">
          <pm:charSpec xmlns:pm="smNativeData" id="1792887725" ulstyle="none" kern="1">
            <pm:latin face="Calibri Light" sz="200" lang="default"/>
            <pm:cs face="Times New Roman" sz="200" lang="default"/>
            <pm:ea face="SimSun" sz="200" lang="default"/>
          </pm:charSpec>
        </ext>
      </extLst>
    </font>
    <font>
      <name val="Microsoft JhengHei UI"/>
      <family val="2"/>
      <b/>
      <color rgb="FF000000"/>
      <sz val="11"/>
      <extLst>
        <ext uri="smNativeData">
          <pm:charSpec xmlns:pm="smNativeData" id="1792887725" ulstyle="none" kern="1">
            <pm:latin face="Microsoft JhengHei UI" sz="220" lang="default" weight="bold"/>
            <pm:cs face="Times New Roman" sz="220" lang="default"/>
            <pm:ea face="SimSun" sz="220" lang="default"/>
          </pm:charSpec>
        </ext>
      </extLst>
    </font>
    <font>
      <name val="Calibri Light"/>
      <family val="2"/>
      <color rgb="FFFF0000"/>
      <sz val="10"/>
      <extLst>
        <ext uri="smNativeData">
          <pm:charSpec xmlns:pm="smNativeData" id="1792887725" fgClr="FF0000" ulstyle="none" kern="1">
            <pm:latin face="Calibri Light" sz="200" lang="default"/>
            <pm:cs face="Times New Roman" sz="200" lang="default"/>
            <pm:ea face="SimSun" sz="200" lang="default"/>
          </pm:charSpec>
        </ext>
      </extLst>
    </font>
    <font>
      <name val="Consolas"/>
      <family val="3"/>
      <b/>
      <i/>
      <color rgb="FF000000"/>
      <sz val="12"/>
      <u val="single"/>
      <extLst>
        <ext uri="smNativeData">
          <pm:charSpec xmlns:pm="smNativeData" id="1792887725" ulstyle="single" kern="1">
            <pm:latin face="Consolas" sz="240" lang="default" weight="bold" i="1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792887725" ulstyle="none" kern="1">
            <pm:latin face="Arial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4"/>
      <extLst>
        <ext uri="smNativeData">
          <pm:charSpec xmlns:pm="smNativeData" id="1792887725" ulstyle="none" kern="1">
            <pm:latin face="Arial" sz="280" lang="default"/>
            <pm:cs face="Times New Roman" sz="280" lang="default"/>
            <pm:ea face="SimSun" sz="280" lang="default"/>
          </pm:charSpec>
        </ext>
      </extLst>
    </font>
    <font>
      <name val="Consolas"/>
      <family val="3"/>
      <color rgb="FF000000"/>
      <sz val="10"/>
      <extLst>
        <ext uri="smNativeData">
          <pm:charSpec xmlns:pm="smNativeData" id="1792887725" ulstyle="none" kern="1">
            <pm:latin face="Consolas" sz="200" lang="default"/>
            <pm:cs face="Times New Roman" sz="200" lang="default"/>
            <pm:ea face="SimSun" sz="200" lang="default"/>
          </pm:charSpec>
        </ext>
      </extLst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92887725" type="1" fgLvl="100" fgClr="00FFFFFF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88772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288772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92887725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288772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2887725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92887725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92887725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92887725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887725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92887725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92887725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88772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92887725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887725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887725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92887725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3" fillId="0" borderId="1" xfId="0" applyNumberFormat="1" applyFont="1" applyBorder="1"/>
    <xf numFmtId="0" fontId="4" fillId="0" borderId="0" xfId="0" applyFont="1"/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2" fillId="0" borderId="1" xfId="0" applyFont="1" applyBorder="1"/>
    <xf numFmtId="0" fontId="3" fillId="0" borderId="2" xfId="0" applyFont="1" applyBorder="1"/>
    <xf numFmtId="0" fontId="4" fillId="0" borderId="1" xfId="0" applyFont="1" applyBorder="1" applyAlignment="1">
      <alignment horizontal="center"/>
    </xf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3" fillId="0" borderId="2" xfId="0" applyNumberFormat="1" applyFont="1" applyBorder="1"/>
    <xf numFmtId="4" fontId="3" fillId="0" borderId="2" xfId="0" applyNumberFormat="1" applyFont="1" applyBorder="1"/>
    <xf numFmtId="165" fontId="3" fillId="0" borderId="2" xfId="0" applyNumberFormat="1" applyFont="1" applyBorder="1"/>
    <xf numFmtId="166" fontId="3" fillId="0" borderId="2" xfId="0" applyNumberFormat="1" applyFont="1" applyBorder="1"/>
    <xf numFmtId="4" fontId="3" fillId="0" borderId="5" xfId="0" applyNumberFormat="1" applyFont="1" applyBorder="1"/>
    <xf numFmtId="0" fontId="3" fillId="0" borderId="7" xfId="0" applyFont="1" applyBorder="1"/>
    <xf numFmtId="0" fontId="3" fillId="0" borderId="6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165" fontId="3" fillId="0" borderId="8" xfId="0" applyNumberFormat="1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5" fontId="3" fillId="0" borderId="5" xfId="0" applyNumberFormat="1" applyFont="1" applyBorder="1"/>
    <xf numFmtId="166" fontId="3" fillId="0" borderId="1" xfId="0" applyNumberFormat="1" applyFont="1" applyBorder="1"/>
    <xf numFmtId="4" fontId="3" fillId="0" borderId="1" xfId="0" applyNumberFormat="1" applyFont="1" applyBorder="1" applyAlignment="1">
      <alignment horizontal="right"/>
    </xf>
    <xf numFmtId="4" fontId="5" fillId="0" borderId="1" xfId="0" applyNumberFormat="1" applyFont="1" applyBorder="1"/>
    <xf numFmtId="0" fontId="2" fillId="0" borderId="3" xfId="0" applyFont="1" applyBorder="1"/>
    <xf numFmtId="164" fontId="3" fillId="0" borderId="1" xfId="0" applyNumberFormat="1" applyFont="1" applyBorder="1"/>
    <xf numFmtId="166" fontId="3" fillId="0" borderId="1" xfId="0" applyNumberFormat="1" applyFont="1" applyBorder="1"/>
    <xf numFmtId="165" fontId="3" fillId="0" borderId="1" xfId="0" applyNumberFormat="1" applyFont="1" applyBorder="1"/>
    <xf numFmtId="166" fontId="5" fillId="0" borderId="1" xfId="0" applyNumberFormat="1" applyFont="1" applyBorder="1"/>
    <xf numFmtId="0" fontId="6" fillId="0" borderId="1" xfId="0" applyFont="1" applyBorder="1"/>
    <xf numFmtId="167" fontId="3" fillId="0" borderId="1" xfId="0" applyNumberFormat="1" applyFont="1" applyBorder="1"/>
    <xf numFmtId="4" fontId="3" fillId="0" borderId="1" xfId="0" applyNumberFormat="1" applyFont="1" applyBorder="1"/>
    <xf numFmtId="0" fontId="3" fillId="0" borderId="1" xfId="0" applyFont="1" applyBorder="1"/>
    <xf numFmtId="166" fontId="0" fillId="0" borderId="0" xfId="0" applyNumberFormat="1"/>
    <xf numFmtId="0" fontId="0" fillId="0" borderId="13" xfId="0" applyBorder="1"/>
    <xf numFmtId="0" fontId="0" fillId="0" borderId="14" xfId="0" applyBorder="1"/>
    <xf numFmtId="0" fontId="8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92887725" count="1">
        <pm:charStyle name="Normal" fontId="0"/>
      </pm:charStyles>
      <pm:colors xmlns:pm="smNativeData" id="1792887725" count="5">
        <pm:color name="Cor 24" rgb="95B3D7"/>
        <pm:color name="Cor 25" rgb="DCE6F1"/>
        <pm:color name="Cor 26" rgb="D8D8D8"/>
        <pm:color name="Cor 27" rgb="BFBFBF"/>
        <pm:color name="Cor 28" rgb="4F81BD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autoTitleDeleted val="1"/>
    <c:plotArea>
      <c:layout/>
      <c:barChart>
        <c:barDir val="col"/>
        <c:grouping val="percentStacked"/>
        <c:ser>
          <c:idx val="0"/>
          <c:order val="0"/>
          <c:tx>
            <c:strRef>
              <c:f>Dashboard!$E$15</c:f>
              <c:strCache>
                <c:ptCount val="1"/>
                <c:pt idx="0">
                  <c:v>Lucro Líquido</c:v>
                </c:pt>
              </c:strCache>
            </c:strRef>
          </c:tx>
          <c:dLbls>
            <c:numFmt formatCode="General" sourceLinked="1"/>
            <c:txPr>
              <a:bodyPr/>
              <a:lstStyle/>
              <a:p>
                <a:pPr>
                  <a:defRPr lang="pt-br" sz="1355" b="0" i="0" u="none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Dashboard!$D$16:$D$20</c:f>
              <c:strCache>
                <c:ptCount val="5"/>
                <c:pt idx="0">
                  <c:v>Petrobras (PETR4)</c:v>
                </c:pt>
                <c:pt idx="1">
                  <c:v>Vale (VALE3)</c:v>
                </c:pt>
                <c:pt idx="2">
                  <c:v>Itaú (ITUB4)</c:v>
                </c:pt>
                <c:pt idx="3">
                  <c:v>Ambev (ABEV3)</c:v>
                </c:pt>
                <c:pt idx="4">
                  <c:v>WEG (WEGE3)</c:v>
                </c:pt>
              </c:strCache>
            </c:strRef>
          </c:cat>
          <c:val>
            <c:numRef>
              <c:f>Dashboard!$E$16:$E$20</c:f>
              <c:numCache>
                <c:formatCode>_-[$R$-416]* #,##0.00_ ;_-[$R$-416]* \-#,##0.00\ ;_-[$R$-416]* "-"??_ ;_-@_ </c:formatCode>
                <c:ptCount val="5"/>
                <c:pt idx="0">
                  <c:v>900000</c:v>
                </c:pt>
                <c:pt idx="1">
                  <c:v>697500</c:v>
                </c:pt>
                <c:pt idx="2">
                  <c:v>1350000</c:v>
                </c:pt>
                <c:pt idx="3">
                  <c:v>637500</c:v>
                </c:pt>
                <c:pt idx="4">
                  <c:v>615000</c:v>
                </c:pt>
              </c:numCache>
            </c:numRef>
          </c:val>
          <c:extLst>
            <c:ext xmlns:sm="sm" uri="sm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overlap val="100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rot="-5400000"/>
          <a:lstStyle/>
          <a:p>
            <a:pPr>
              <a:defRPr/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/>
        <c:numFmt formatCode="0%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 anchor="t"/>
        <a:lstStyle/>
        <a:p>
          <a:pPr>
            <a:defRPr/>
          </a:pPr>
        </a:p>
      </c:txPr>
    </c:legend>
    <c:plotVisOnly val="1"/>
    <c:dispBlanksAs val="gap"/>
  </c:chart>
  <c:spPr/>
  <c:txPr>
    <a:bodyPr anchor="ctr" anchorCtr="1" rot="0"/>
    <a:lstStyle/>
    <a:p>
      <a:pPr>
        <a:defRPr lang="pt-br" sz="1495" b="0" i="0" u="none" strike="noStrike">
          <a:solidFill>
            <a:srgbClr val="000000"/>
          </a:solidFill>
          <a:latin typeface="Arial"/>
        </a:defRPr>
      </a:pPr>
    </a:p>
  </c:txPr>
  <c:extLst>
    <c:ext xmlns:sm="sm" uri="sm">
      <sm:colorScheme xmlns:sm="sm" id="1792887725" val="7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4</xdr:row>
      <xdr:rowOff>142240</xdr:rowOff>
    </xdr:from>
    <xdr:to>
      <xdr:col>10</xdr:col>
      <xdr:colOff>438150</xdr:colOff>
      <xdr:row>21</xdr:row>
      <xdr:rowOff>9525</xdr:rowOff>
    </xdr:to>
    <xdr:graphicFrame macro="">
      <xdr:nvGraphicFramePr>
        <xdr:cNvPr id="2" name="Gráfico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pageSetUpPr autoPageBreaks="0"/>
  </sheetPr>
  <dimension ref="B2:B8"/>
  <sheetViews>
    <sheetView tabSelected="1" view="normal" workbookViewId="0">
      <selection activeCell="B1" sqref="B1:B1048576"/>
    </sheetView>
  </sheetViews>
  <sheetFormatPr baseColWidth="9" defaultColWidth="10.000000" defaultRowHeight="13.45"/>
  <cols>
    <col min="2" max="2" width="93.711712" customWidth="1" bestFit="1"/>
  </cols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  <row r="6" spans="2:2">
      <c r="B6" t="s">
        <v>4</v>
      </c>
    </row>
    <row r="7" spans="2:2">
      <c r="B7" t="s">
        <v>5</v>
      </c>
    </row>
    <row r="8" spans="2:2">
      <c r="B8" t="s">
        <v>6</v>
      </c>
    </row>
  </sheetData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pageSetUpPr autoPageBreaks="0"/>
  </sheetPr>
  <dimension ref="B2:U8"/>
  <sheetViews>
    <sheetView view="normal" workbookViewId="0">
      <selection activeCell="B2" sqref="B2:L2"/>
    </sheetView>
  </sheetViews>
  <sheetFormatPr baseColWidth="9" defaultColWidth="10.000000" defaultRowHeight="13.45"/>
  <cols>
    <col min="2" max="2" width="14.198198" customWidth="1"/>
    <col min="3" max="3" width="17.333333" customWidth="1"/>
    <col min="4" max="4" width="16.927928" customWidth="1"/>
    <col min="6" max="7" width="19.522523" customWidth="1"/>
    <col min="10" max="10" width="12.783784" customWidth="1"/>
    <col min="12" max="12" width="20.045045" customWidth="1"/>
  </cols>
  <sheetData>
    <row r="2" spans="2:21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</row>
    <row r="3" spans="2:12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</row>
    <row r="4" spans="2:12"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26</v>
      </c>
      <c r="L4" s="5" t="n">
        <v>46293</v>
      </c>
    </row>
    <row r="5" spans="2:12"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32</v>
      </c>
      <c r="H5" s="4" t="s">
        <v>25</v>
      </c>
      <c r="I5" s="4" t="s">
        <v>26</v>
      </c>
      <c r="J5" s="4" t="s">
        <v>27</v>
      </c>
      <c r="K5" s="4" t="s">
        <v>26</v>
      </c>
      <c r="L5" s="5" t="n">
        <v>46293</v>
      </c>
    </row>
    <row r="6" spans="2:12"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25</v>
      </c>
      <c r="I6" s="4" t="s">
        <v>26</v>
      </c>
      <c r="J6" s="4" t="s">
        <v>27</v>
      </c>
      <c r="K6" s="4" t="s">
        <v>26</v>
      </c>
      <c r="L6" s="5" t="n">
        <v>46293</v>
      </c>
    </row>
    <row r="7" spans="2:12"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25</v>
      </c>
      <c r="I7" s="4" t="s">
        <v>26</v>
      </c>
      <c r="J7" s="4" t="s">
        <v>27</v>
      </c>
      <c r="K7" s="4" t="s">
        <v>26</v>
      </c>
      <c r="L7" s="5" t="n">
        <v>46293</v>
      </c>
    </row>
    <row r="8" spans="2:12"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25</v>
      </c>
      <c r="I8" s="4" t="s">
        <v>26</v>
      </c>
      <c r="J8" s="4" t="s">
        <v>27</v>
      </c>
      <c r="K8" s="4" t="s">
        <v>26</v>
      </c>
      <c r="L8" s="5" t="n">
        <v>46293</v>
      </c>
    </row>
  </sheetData>
  <autoFilter ref="B3:L8">
    <filterColumn colId="0"/>
    <filterColumn colId="1"/>
    <filterColumn colId="2"/>
    <filterColumn colId="3"/>
    <filterColumn colId="4"/>
    <filterColumn colId="5"/>
    <filterColumn colId="6"/>
    <filterColumn colId="7"/>
    <filterColumn colId="8"/>
    <filterColumn colId="9"/>
    <filterColumn colId="10"/>
  </autoFilter>
  <mergeCells count="1">
    <mergeCell ref="B2:L2"/>
  </mergeCells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B1:G13"/>
  <sheetViews>
    <sheetView view="normal" workbookViewId="0">
      <selection activeCell="B2" sqref="B2:G2"/>
    </sheetView>
  </sheetViews>
  <sheetFormatPr baseColWidth="9" defaultColWidth="10.000000" defaultRowHeight="13.45"/>
  <cols>
    <col min="2" max="2" width="13.873874" customWidth="1"/>
    <col min="3" max="3" width="12.972973" customWidth="1"/>
    <col min="4" max="4" width="12.810811" customWidth="1"/>
    <col min="5" max="5" width="14.918919" customWidth="1"/>
    <col min="6" max="6" width="12.810811" customWidth="1"/>
    <col min="7" max="7" width="11.261261" customWidth="1"/>
  </cols>
  <sheetData>
    <row r="1" spans="7:7">
      <c r="G1" s="6"/>
    </row>
    <row r="2" spans="2:7">
      <c r="B2" s="8" t="s">
        <v>51</v>
      </c>
      <c r="C2" s="9"/>
      <c r="D2" s="9"/>
      <c r="E2" s="9"/>
      <c r="F2" s="9"/>
      <c r="G2" s="10"/>
    </row>
    <row r="3" spans="2:7">
      <c r="B3" s="7"/>
      <c r="C3" s="3" t="s">
        <v>20</v>
      </c>
      <c r="D3" s="3" t="s">
        <v>29</v>
      </c>
      <c r="E3" s="3" t="s">
        <v>34</v>
      </c>
      <c r="F3" s="3" t="s">
        <v>40</v>
      </c>
      <c r="G3" s="3" t="s">
        <v>46</v>
      </c>
    </row>
    <row r="4" spans="2:7">
      <c r="B4" s="3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</row>
    <row r="5" spans="2:7">
      <c r="B5" s="3" t="s">
        <v>11</v>
      </c>
      <c r="C5" s="4" t="s">
        <v>22</v>
      </c>
      <c r="D5" s="4" t="s">
        <v>31</v>
      </c>
      <c r="E5" s="4" t="s">
        <v>36</v>
      </c>
      <c r="F5" s="4" t="s">
        <v>42</v>
      </c>
      <c r="G5" s="4" t="s">
        <v>48</v>
      </c>
    </row>
    <row r="6" spans="2:7">
      <c r="B6" s="3" t="s">
        <v>58</v>
      </c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</row>
    <row r="7" spans="2:7">
      <c r="B7" s="3" t="s">
        <v>8</v>
      </c>
      <c r="C7" s="4" t="s">
        <v>19</v>
      </c>
      <c r="D7" s="4" t="s">
        <v>28</v>
      </c>
      <c r="E7" s="4" t="s">
        <v>33</v>
      </c>
      <c r="F7" s="4" t="s">
        <v>39</v>
      </c>
      <c r="G7" s="4" t="s">
        <v>45</v>
      </c>
    </row>
    <row r="8" spans="2:7">
      <c r="B8" s="3" t="s">
        <v>64</v>
      </c>
      <c r="C8" s="4" t="s">
        <v>65</v>
      </c>
      <c r="D8" s="4" t="s">
        <v>65</v>
      </c>
      <c r="E8" s="4" t="s">
        <v>65</v>
      </c>
      <c r="F8" s="4" t="s">
        <v>65</v>
      </c>
      <c r="G8" s="4" t="s">
        <v>65</v>
      </c>
    </row>
    <row r="9" spans="2:7">
      <c r="B9" s="3" t="s">
        <v>66</v>
      </c>
      <c r="C9" s="4" t="s">
        <v>67</v>
      </c>
      <c r="D9" s="4" t="s">
        <v>68</v>
      </c>
      <c r="E9" s="4" t="s">
        <v>68</v>
      </c>
      <c r="F9" s="4" t="s">
        <v>68</v>
      </c>
      <c r="G9" s="4" t="s">
        <v>68</v>
      </c>
    </row>
    <row r="10" spans="2:7">
      <c r="B10" s="3" t="s">
        <v>69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</row>
    <row r="11" spans="2:7">
      <c r="B11" s="3" t="s">
        <v>70</v>
      </c>
      <c r="C11" s="4" t="s">
        <v>71</v>
      </c>
      <c r="D11" s="4" t="s">
        <v>71</v>
      </c>
      <c r="E11" s="4" t="s">
        <v>71</v>
      </c>
      <c r="F11" s="4" t="s">
        <v>71</v>
      </c>
      <c r="G11" s="4" t="s">
        <v>71</v>
      </c>
    </row>
    <row r="12" spans="2:7">
      <c r="B12" s="3" t="s">
        <v>12</v>
      </c>
      <c r="C12" s="4" t="s">
        <v>23</v>
      </c>
      <c r="D12" s="4" t="s">
        <v>72</v>
      </c>
      <c r="E12" s="4" t="s">
        <v>37</v>
      </c>
      <c r="F12" s="4" t="s">
        <v>43</v>
      </c>
      <c r="G12" s="4" t="s">
        <v>49</v>
      </c>
    </row>
    <row r="13" spans="2:7">
      <c r="B13" s="3" t="s">
        <v>16</v>
      </c>
      <c r="C13" s="4" t="s">
        <v>27</v>
      </c>
      <c r="D13" s="4" t="s">
        <v>27</v>
      </c>
      <c r="E13" s="4" t="s">
        <v>27</v>
      </c>
      <c r="F13" s="4" t="s">
        <v>27</v>
      </c>
      <c r="G13" s="4" t="s">
        <v>27</v>
      </c>
    </row>
  </sheetData>
  <autoFilter ref="C3:G4">
    <filterColumn colId="0"/>
    <filterColumn colId="1"/>
    <filterColumn colId="2"/>
    <filterColumn colId="3"/>
    <filterColumn colId="4"/>
  </autoFilter>
  <mergeCells count="1">
    <mergeCell ref="B2:G2"/>
  </mergeCells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>
    <pageSetUpPr autoPageBreaks="0"/>
  </sheetPr>
  <dimension ref="A2:Q48"/>
  <sheetViews>
    <sheetView view="normal" topLeftCell="A11" workbookViewId="0">
      <selection activeCell="F20" sqref="F20"/>
    </sheetView>
  </sheetViews>
  <sheetFormatPr baseColWidth="9" defaultColWidth="10.000000" defaultRowHeight="13.45"/>
  <cols>
    <col min="2" max="2" width="16.324324" customWidth="1"/>
    <col min="3" max="3" width="26.540541" customWidth="1"/>
    <col min="4" max="4" width="28.432432" customWidth="1"/>
    <col min="5" max="5" width="26.576577" customWidth="1"/>
    <col min="6" max="6" width="26.576577" customWidth="1" bestFit="1"/>
    <col min="7" max="10" width="28.513514" customWidth="1"/>
    <col min="11" max="11" width="17.657658" customWidth="1" bestFit="1"/>
    <col min="12" max="15" width="31.351351" customWidth="1"/>
    <col min="16" max="17" width="16.666667" customWidth="1" bestFit="1"/>
  </cols>
  <sheetData>
    <row r="2" spans="2:17">
      <c r="B2" s="18" t="s">
        <v>73</v>
      </c>
      <c r="C2" s="20"/>
      <c r="D2" s="20"/>
      <c r="E2" s="20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2:17">
      <c r="B3" s="19"/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  <c r="N3" s="3" t="s">
        <v>85</v>
      </c>
      <c r="O3" s="3" t="s">
        <v>86</v>
      </c>
      <c r="P3" s="3" t="s">
        <v>87</v>
      </c>
      <c r="Q3" s="3" t="s">
        <v>88</v>
      </c>
    </row>
    <row r="4" spans="2:17">
      <c r="B4" s="3" t="s">
        <v>89</v>
      </c>
      <c r="C4" s="17" t="s">
        <v>90</v>
      </c>
      <c r="D4" s="17" t="s">
        <v>91</v>
      </c>
      <c r="E4" s="17" t="s">
        <v>92</v>
      </c>
      <c r="F4" s="17" t="s">
        <v>93</v>
      </c>
      <c r="G4" s="17" t="s">
        <v>94</v>
      </c>
      <c r="H4" s="17" t="s">
        <v>95</v>
      </c>
      <c r="I4" s="17" t="s">
        <v>96</v>
      </c>
      <c r="J4" s="17" t="s">
        <v>97</v>
      </c>
      <c r="K4" s="17" t="s">
        <v>98</v>
      </c>
      <c r="L4" s="17" t="s">
        <v>99</v>
      </c>
      <c r="M4" s="17" t="s">
        <v>100</v>
      </c>
      <c r="N4" s="17" t="s">
        <v>101</v>
      </c>
      <c r="O4" s="17" t="s">
        <v>102</v>
      </c>
      <c r="P4" s="17" t="s">
        <v>103</v>
      </c>
      <c r="Q4" s="17" t="s">
        <v>104</v>
      </c>
    </row>
    <row r="5" spans="2:17">
      <c r="B5" s="3" t="s">
        <v>52</v>
      </c>
      <c r="C5" s="4" t="s">
        <v>53</v>
      </c>
      <c r="D5" s="4" t="s">
        <v>53</v>
      </c>
      <c r="E5" s="4" t="s">
        <v>53</v>
      </c>
      <c r="F5" s="4" t="s">
        <v>55</v>
      </c>
      <c r="G5" s="4" t="s">
        <v>55</v>
      </c>
      <c r="H5" s="4" t="s">
        <v>55</v>
      </c>
      <c r="I5" s="4" t="s">
        <v>54</v>
      </c>
      <c r="J5" s="4" t="s">
        <v>54</v>
      </c>
      <c r="K5" s="4" t="s">
        <v>54</v>
      </c>
      <c r="L5" s="4" t="s">
        <v>56</v>
      </c>
      <c r="M5" s="4" t="s">
        <v>56</v>
      </c>
      <c r="N5" s="4" t="s">
        <v>56</v>
      </c>
      <c r="O5" s="4" t="s">
        <v>57</v>
      </c>
      <c r="P5" s="4" t="s">
        <v>57</v>
      </c>
      <c r="Q5" s="4" t="s">
        <v>57</v>
      </c>
    </row>
    <row r="6" spans="2:17">
      <c r="B6" s="3" t="s">
        <v>105</v>
      </c>
      <c r="C6" s="5" t="n">
        <v>46266</v>
      </c>
      <c r="D6" s="5" t="n">
        <v>46267</v>
      </c>
      <c r="E6" s="5" t="n">
        <v>46268</v>
      </c>
      <c r="F6" s="5" t="n">
        <v>38.5</v>
      </c>
      <c r="G6" s="5" t="n">
        <v>46267</v>
      </c>
      <c r="H6" s="5" t="n">
        <v>46268</v>
      </c>
      <c r="I6" s="5" t="n">
        <v>46266</v>
      </c>
      <c r="J6" s="5" t="n">
        <v>46267</v>
      </c>
      <c r="K6" s="5" t="n">
        <v>46268</v>
      </c>
      <c r="L6" s="5" t="n">
        <v>46266</v>
      </c>
      <c r="M6" s="5" t="n">
        <v>46267</v>
      </c>
      <c r="N6" s="5" t="n">
        <v>46268</v>
      </c>
      <c r="O6" s="5" t="n">
        <v>46266</v>
      </c>
      <c r="P6" s="5" t="n">
        <v>46267</v>
      </c>
      <c r="Q6" s="5" t="n">
        <v>46268</v>
      </c>
    </row>
    <row r="7" spans="2:17">
      <c r="B7" s="3" t="s">
        <v>106</v>
      </c>
      <c r="C7" s="11" t="n">
        <v>35.2000000000000028</v>
      </c>
      <c r="D7" s="11" t="n">
        <v>35.8500000000000014</v>
      </c>
      <c r="E7" s="11" t="n">
        <v>35.5</v>
      </c>
      <c r="F7" s="11" t="n">
        <v>38.5</v>
      </c>
      <c r="G7" s="11" t="n">
        <v>38.8999999999999986</v>
      </c>
      <c r="H7" s="11" t="n">
        <v>39.2000000000000028</v>
      </c>
      <c r="I7" s="11" t="n">
        <v>62.3999999999999986</v>
      </c>
      <c r="J7" s="11" t="n">
        <v>63.1000000000000014</v>
      </c>
      <c r="K7" s="11" t="n">
        <v>62.7999999999999972</v>
      </c>
      <c r="L7" s="11" t="n">
        <v>14.8000000000000007</v>
      </c>
      <c r="M7" s="11" t="n">
        <v>15.0500000000000007</v>
      </c>
      <c r="N7" s="11" t="n">
        <v>14.9499999999999993</v>
      </c>
      <c r="O7" s="11" t="n">
        <v>52</v>
      </c>
      <c r="P7" s="11" t="n">
        <v>52.7000000000000028</v>
      </c>
      <c r="Q7" s="11" t="n">
        <v>52.3999999999999986</v>
      </c>
    </row>
    <row r="8" spans="2:17">
      <c r="B8" s="3" t="s">
        <v>107</v>
      </c>
      <c r="C8" s="11" t="n">
        <v>2500000</v>
      </c>
      <c r="D8" s="11" t="n">
        <v>2800000</v>
      </c>
      <c r="E8" s="11" t="n">
        <v>2650000</v>
      </c>
      <c r="F8" s="11" t="n">
        <v>1500000</v>
      </c>
      <c r="G8" s="11" t="n">
        <v>1650000</v>
      </c>
      <c r="H8" s="11" t="n">
        <v>3654000</v>
      </c>
      <c r="I8" s="11" t="n">
        <v>1800000</v>
      </c>
      <c r="J8" s="11" t="n">
        <v>1950000</v>
      </c>
      <c r="K8" s="11" t="n">
        <v>2100000</v>
      </c>
      <c r="L8" s="11" t="n">
        <v>2200000</v>
      </c>
      <c r="M8" s="11" t="n">
        <v>2350000</v>
      </c>
      <c r="N8" s="11" t="n">
        <v>2400000</v>
      </c>
      <c r="O8" s="11" t="n">
        <v>950000</v>
      </c>
      <c r="P8" s="11" t="n">
        <v>1050000</v>
      </c>
      <c r="Q8" s="11" t="n">
        <v>1100000</v>
      </c>
    </row>
    <row r="9" spans="2:17">
      <c r="B9" s="3" t="s">
        <v>70</v>
      </c>
      <c r="C9" s="4" t="s">
        <v>71</v>
      </c>
      <c r="D9" s="4" t="s">
        <v>71</v>
      </c>
      <c r="E9" s="4" t="s">
        <v>71</v>
      </c>
      <c r="F9" s="4" t="s">
        <v>71</v>
      </c>
      <c r="G9" s="4" t="s">
        <v>71</v>
      </c>
      <c r="H9" s="4" t="s">
        <v>71</v>
      </c>
      <c r="I9" s="4" t="s">
        <v>71</v>
      </c>
      <c r="J9" s="4" t="s">
        <v>71</v>
      </c>
      <c r="K9" s="4" t="s">
        <v>71</v>
      </c>
      <c r="L9" s="4" t="s">
        <v>71</v>
      </c>
      <c r="M9" s="4" t="s">
        <v>71</v>
      </c>
      <c r="N9" s="4" t="s">
        <v>71</v>
      </c>
      <c r="O9" s="4" t="s">
        <v>71</v>
      </c>
      <c r="P9" s="4" t="s">
        <v>71</v>
      </c>
      <c r="Q9" s="4" t="s">
        <v>71</v>
      </c>
    </row>
    <row r="10" spans="2:17">
      <c r="B10" s="3" t="s">
        <v>16</v>
      </c>
      <c r="C10" s="4" t="s">
        <v>108</v>
      </c>
      <c r="D10" s="4" t="s">
        <v>108</v>
      </c>
      <c r="E10" s="4" t="s">
        <v>108</v>
      </c>
      <c r="F10" s="4" t="s">
        <v>108</v>
      </c>
      <c r="G10" s="4" t="s">
        <v>108</v>
      </c>
      <c r="H10" s="4" t="s">
        <v>108</v>
      </c>
      <c r="I10" s="4" t="s">
        <v>108</v>
      </c>
      <c r="J10" s="4" t="s">
        <v>108</v>
      </c>
      <c r="K10" s="4" t="s">
        <v>108</v>
      </c>
      <c r="L10" s="4" t="s">
        <v>108</v>
      </c>
      <c r="M10" s="4" t="s">
        <v>108</v>
      </c>
      <c r="N10" s="4" t="s">
        <v>108</v>
      </c>
      <c r="O10" s="4" t="s">
        <v>108</v>
      </c>
      <c r="P10" s="4" t="s">
        <v>108</v>
      </c>
      <c r="Q10" s="4" t="s">
        <v>108</v>
      </c>
    </row>
    <row r="11" spans="2:17">
      <c r="B11" s="3" t="s">
        <v>17</v>
      </c>
      <c r="C11" s="4" t="s">
        <v>109</v>
      </c>
      <c r="D11" s="4" t="s">
        <v>109</v>
      </c>
      <c r="E11" s="4" t="s">
        <v>109</v>
      </c>
      <c r="F11" s="4" t="s">
        <v>109</v>
      </c>
      <c r="G11" s="4" t="s">
        <v>109</v>
      </c>
      <c r="H11" s="4" t="s">
        <v>109</v>
      </c>
      <c r="I11" s="4" t="s">
        <v>109</v>
      </c>
      <c r="J11" s="4" t="s">
        <v>109</v>
      </c>
      <c r="K11" s="4" t="s">
        <v>109</v>
      </c>
      <c r="L11" s="4" t="s">
        <v>109</v>
      </c>
      <c r="M11" s="4" t="s">
        <v>109</v>
      </c>
      <c r="N11" s="4" t="s">
        <v>109</v>
      </c>
      <c r="O11" s="4" t="s">
        <v>109</v>
      </c>
      <c r="P11" s="4" t="s">
        <v>109</v>
      </c>
      <c r="Q11" s="4" t="s">
        <v>109</v>
      </c>
    </row>
    <row r="15" spans="2:9">
      <c r="B15" s="16" t="s">
        <v>89</v>
      </c>
      <c r="C15" s="16" t="s">
        <v>52</v>
      </c>
      <c r="D15" s="16" t="s">
        <v>105</v>
      </c>
      <c r="E15" s="16" t="s">
        <v>110</v>
      </c>
      <c r="F15" s="16" t="s">
        <v>107</v>
      </c>
      <c r="G15" s="16" t="s">
        <v>70</v>
      </c>
      <c r="H15" s="16" t="s">
        <v>16</v>
      </c>
      <c r="I15" s="16" t="s">
        <v>17</v>
      </c>
    </row>
    <row r="16" spans="2:9">
      <c r="B16" s="17" t="s">
        <v>90</v>
      </c>
      <c r="C16" s="17" t="s">
        <v>53</v>
      </c>
      <c r="D16" s="32" t="n">
        <v>46266</v>
      </c>
      <c r="E16" s="33" t="n">
        <v>35.2000000000000028</v>
      </c>
      <c r="F16" s="25" t="n">
        <v>1500000</v>
      </c>
      <c r="G16" s="17" t="s">
        <v>71</v>
      </c>
      <c r="H16" s="17" t="s">
        <v>108</v>
      </c>
      <c r="I16" s="17" t="s">
        <v>109</v>
      </c>
    </row>
    <row r="17" spans="2:9">
      <c r="B17" s="17" t="s">
        <v>91</v>
      </c>
      <c r="C17" s="29" t="s">
        <v>53</v>
      </c>
      <c r="D17" s="31" t="n">
        <v>46266</v>
      </c>
      <c r="E17" s="36" t="n">
        <v>35.8500000000000014</v>
      </c>
      <c r="F17" s="28" t="n">
        <v>1650000</v>
      </c>
      <c r="G17" s="4" t="s">
        <v>71</v>
      </c>
      <c r="H17" s="4" t="s">
        <v>108</v>
      </c>
      <c r="I17" s="4" t="s">
        <v>109</v>
      </c>
    </row>
    <row r="18" spans="2:9">
      <c r="B18" s="30" t="s">
        <v>92</v>
      </c>
      <c r="C18" s="4" t="s">
        <v>53</v>
      </c>
      <c r="D18" s="31" t="n">
        <v>46266</v>
      </c>
      <c r="E18" s="11" t="n">
        <v>35.5</v>
      </c>
      <c r="F18" s="28" t="n">
        <v>1580000</v>
      </c>
      <c r="G18" s="4" t="s">
        <v>71</v>
      </c>
      <c r="H18" s="4" t="s">
        <v>108</v>
      </c>
      <c r="I18" s="4" t="s">
        <v>109</v>
      </c>
    </row>
    <row r="19" spans="2:9">
      <c r="B19" s="30" t="s">
        <v>96</v>
      </c>
      <c r="C19" s="5" t="s">
        <v>54</v>
      </c>
      <c r="D19" s="31" t="n">
        <v>46266</v>
      </c>
      <c r="E19" s="11" t="n">
        <v>62.3999999999999986</v>
      </c>
      <c r="F19" s="28" t="n">
        <v>1200000</v>
      </c>
      <c r="G19" s="4" t="s">
        <v>71</v>
      </c>
      <c r="H19" s="4" t="s">
        <v>108</v>
      </c>
      <c r="I19" s="4" t="s">
        <v>109</v>
      </c>
    </row>
    <row r="20" spans="2:9">
      <c r="B20" s="30" t="s">
        <v>97</v>
      </c>
      <c r="C20" s="5" t="s">
        <v>54</v>
      </c>
      <c r="D20" s="31" t="n">
        <v>46266</v>
      </c>
      <c r="E20" s="11" t="n">
        <v>63.1000000000000014</v>
      </c>
      <c r="F20" s="28" t="n">
        <v>1350000</v>
      </c>
      <c r="G20" s="4" t="s">
        <v>71</v>
      </c>
      <c r="H20" s="4" t="s">
        <v>108</v>
      </c>
      <c r="I20" s="4" t="s">
        <v>109</v>
      </c>
    </row>
    <row r="21" spans="2:9">
      <c r="B21" s="30" t="s">
        <v>98</v>
      </c>
      <c r="C21" s="5" t="s">
        <v>54</v>
      </c>
      <c r="D21" s="5" t="n">
        <v>46267</v>
      </c>
      <c r="E21" s="11" t="n">
        <v>62.7999999999999972</v>
      </c>
      <c r="F21" s="28" t="n">
        <v>1280000</v>
      </c>
      <c r="G21" s="4" t="s">
        <v>71</v>
      </c>
      <c r="H21" s="4" t="s">
        <v>108</v>
      </c>
      <c r="I21" s="4" t="s">
        <v>109</v>
      </c>
    </row>
    <row r="22" spans="2:9">
      <c r="B22" s="30" t="s">
        <v>93</v>
      </c>
      <c r="C22" s="4" t="s">
        <v>55</v>
      </c>
      <c r="D22" s="31" t="n">
        <v>46267</v>
      </c>
      <c r="E22" s="11" t="n">
        <v>38.5</v>
      </c>
      <c r="F22" s="28" t="n">
        <v>950000</v>
      </c>
      <c r="G22" s="4" t="s">
        <v>71</v>
      </c>
      <c r="H22" s="4" t="s">
        <v>108</v>
      </c>
      <c r="I22" s="4" t="s">
        <v>109</v>
      </c>
    </row>
    <row r="23" spans="2:9">
      <c r="B23" s="30" t="s">
        <v>94</v>
      </c>
      <c r="C23" s="5" t="s">
        <v>55</v>
      </c>
      <c r="D23" s="31" t="n">
        <v>46267</v>
      </c>
      <c r="E23" s="11" t="n">
        <v>38.8999999999999986</v>
      </c>
      <c r="F23" s="28" t="n">
        <v>1100000</v>
      </c>
      <c r="G23" s="4" t="s">
        <v>71</v>
      </c>
      <c r="H23" s="4" t="s">
        <v>108</v>
      </c>
      <c r="I23" s="4" t="s">
        <v>109</v>
      </c>
    </row>
    <row r="24" spans="2:9">
      <c r="B24" s="30" t="s">
        <v>95</v>
      </c>
      <c r="C24" s="5" t="s">
        <v>55</v>
      </c>
      <c r="D24" s="31" t="n">
        <v>46267</v>
      </c>
      <c r="E24" s="11" t="n">
        <v>39.2000000000000028</v>
      </c>
      <c r="F24" s="28" t="n">
        <v>1050000</v>
      </c>
      <c r="G24" s="4" t="s">
        <v>71</v>
      </c>
      <c r="H24" s="4" t="s">
        <v>108</v>
      </c>
      <c r="I24" s="4" t="s">
        <v>109</v>
      </c>
    </row>
    <row r="25" spans="2:9">
      <c r="B25" s="30" t="s">
        <v>99</v>
      </c>
      <c r="C25" s="5" t="s">
        <v>56</v>
      </c>
      <c r="D25" s="31" t="n">
        <v>46267</v>
      </c>
      <c r="E25" s="11" t="n">
        <v>14.8000000000000007</v>
      </c>
      <c r="F25" s="28" t="n">
        <v>2100000</v>
      </c>
      <c r="G25" s="4" t="s">
        <v>71</v>
      </c>
      <c r="H25" s="4" t="s">
        <v>108</v>
      </c>
      <c r="I25" s="4" t="s">
        <v>109</v>
      </c>
    </row>
    <row r="26" spans="2:9">
      <c r="B26" s="30" t="s">
        <v>100</v>
      </c>
      <c r="C26" s="5" t="s">
        <v>56</v>
      </c>
      <c r="D26" s="34" t="n">
        <v>46268</v>
      </c>
      <c r="E26" s="11" t="n">
        <v>15.0500000000000007</v>
      </c>
      <c r="F26" s="28" t="n">
        <v>2250000</v>
      </c>
      <c r="G26" s="4" t="s">
        <v>71</v>
      </c>
      <c r="H26" s="4" t="s">
        <v>108</v>
      </c>
      <c r="I26" s="4" t="s">
        <v>109</v>
      </c>
    </row>
    <row r="27" spans="2:9">
      <c r="B27" s="30" t="s">
        <v>101</v>
      </c>
      <c r="C27" s="5" t="s">
        <v>56</v>
      </c>
      <c r="D27" s="5" t="n">
        <v>46268</v>
      </c>
      <c r="E27" s="11" t="n">
        <v>14.9499999999999993</v>
      </c>
      <c r="F27" s="28" t="n">
        <v>2180000</v>
      </c>
      <c r="G27" s="4" t="s">
        <v>71</v>
      </c>
      <c r="H27" s="4" t="s">
        <v>108</v>
      </c>
      <c r="I27" s="4" t="s">
        <v>109</v>
      </c>
    </row>
    <row r="28" spans="1:9">
      <c r="A28" s="12"/>
      <c r="B28" s="30" t="s">
        <v>102</v>
      </c>
      <c r="C28" s="5" t="s">
        <v>57</v>
      </c>
      <c r="D28" s="35" t="n">
        <v>46268</v>
      </c>
      <c r="E28" s="11" t="n">
        <v>52</v>
      </c>
      <c r="F28" s="28" t="n">
        <v>750000</v>
      </c>
      <c r="G28" s="4" t="s">
        <v>71</v>
      </c>
      <c r="H28" s="4" t="s">
        <v>108</v>
      </c>
      <c r="I28" s="4" t="s">
        <v>109</v>
      </c>
    </row>
    <row r="29" spans="2:9">
      <c r="B29" s="30" t="s">
        <v>103</v>
      </c>
      <c r="C29" s="5" t="s">
        <v>57</v>
      </c>
      <c r="D29" s="31" t="n">
        <v>46268</v>
      </c>
      <c r="E29" s="11" t="n">
        <v>52.7000000000000028</v>
      </c>
      <c r="F29" s="28" t="n">
        <v>820000</v>
      </c>
      <c r="G29" s="4" t="s">
        <v>71</v>
      </c>
      <c r="H29" s="4" t="s">
        <v>108</v>
      </c>
      <c r="I29" s="4" t="s">
        <v>109</v>
      </c>
    </row>
    <row r="30" spans="1:9">
      <c r="A30" s="13"/>
      <c r="B30" s="30" t="s">
        <v>104</v>
      </c>
      <c r="C30" s="5" t="s">
        <v>57</v>
      </c>
      <c r="D30" s="31" t="n">
        <v>46268</v>
      </c>
      <c r="E30" s="11" t="n">
        <v>52.3999999999999986</v>
      </c>
      <c r="F30" s="28" t="n">
        <v>790000</v>
      </c>
      <c r="G30" s="4" t="s">
        <v>71</v>
      </c>
      <c r="H30" s="4" t="s">
        <v>108</v>
      </c>
      <c r="I30" s="4" t="s">
        <v>109</v>
      </c>
    </row>
    <row r="31" spans="1:9">
      <c r="A31" s="13"/>
      <c r="B31" s="6"/>
      <c r="C31" s="6"/>
      <c r="D31" s="6"/>
      <c r="F31" s="13"/>
      <c r="G31" s="6"/>
      <c r="H31" s="6"/>
      <c r="I31" s="6"/>
    </row>
    <row r="32" spans="1:9">
      <c r="A32" s="13"/>
      <c r="B32" s="14"/>
      <c r="C32" s="14"/>
      <c r="D32" s="14"/>
      <c r="F32" s="13"/>
      <c r="G32" s="14"/>
      <c r="H32" s="14"/>
      <c r="I32" s="14"/>
    </row>
    <row r="33" spans="1:9">
      <c r="A33" s="13"/>
      <c r="B33" s="15"/>
      <c r="C33" s="15"/>
      <c r="D33" s="15"/>
      <c r="F33" s="13"/>
      <c r="G33" s="15"/>
      <c r="H33" s="15"/>
      <c r="I33" s="15"/>
    </row>
    <row r="34" spans="1:9">
      <c r="A34" s="13"/>
      <c r="B34" s="15"/>
      <c r="C34" s="15"/>
      <c r="D34" s="15"/>
      <c r="F34" s="13"/>
      <c r="G34" s="15"/>
      <c r="H34" s="15"/>
      <c r="I34" s="15"/>
    </row>
    <row r="35" spans="1:9">
      <c r="A35" s="13"/>
      <c r="B35" s="6"/>
      <c r="C35" s="6"/>
      <c r="D35" s="6"/>
      <c r="F35" s="13"/>
      <c r="G35" s="6"/>
      <c r="H35" s="6"/>
      <c r="I35" s="6"/>
    </row>
    <row r="36" spans="1:9">
      <c r="A36" s="13"/>
      <c r="B36" s="6"/>
      <c r="C36" s="6"/>
      <c r="D36" s="6"/>
      <c r="F36" s="13"/>
      <c r="G36" s="6"/>
      <c r="H36" s="6"/>
      <c r="I36" s="6"/>
    </row>
    <row r="37" spans="1:9">
      <c r="A37" s="13"/>
      <c r="B37" s="6"/>
      <c r="C37" s="6"/>
      <c r="D37" s="6"/>
      <c r="F37" s="13"/>
      <c r="G37" s="6"/>
      <c r="H37" s="6"/>
      <c r="I37" s="6"/>
    </row>
    <row r="39" spans="1:1">
      <c r="A39" s="12"/>
    </row>
    <row r="40" spans="2:4">
      <c r="B40" s="13"/>
      <c r="C40" s="13"/>
      <c r="D40" s="13"/>
    </row>
    <row r="41" spans="1:4">
      <c r="A41" s="13"/>
      <c r="B41" s="6"/>
      <c r="C41" s="6"/>
      <c r="D41" s="6"/>
    </row>
    <row r="42" spans="1:4">
      <c r="A42" s="13"/>
      <c r="B42" s="6"/>
      <c r="C42" s="6"/>
      <c r="D42" s="6"/>
    </row>
    <row r="43" spans="1:4">
      <c r="A43" s="13"/>
      <c r="B43" s="14"/>
      <c r="C43" s="14"/>
      <c r="D43" s="14"/>
    </row>
    <row r="44" spans="1:4">
      <c r="A44" s="13"/>
      <c r="B44" s="15"/>
      <c r="C44" s="15"/>
      <c r="D44" s="15"/>
    </row>
    <row r="45" spans="1:4">
      <c r="A45" s="13"/>
      <c r="B45" s="15"/>
      <c r="C45" s="15"/>
      <c r="D45" s="15"/>
    </row>
    <row r="46" spans="1:4">
      <c r="A46" s="13"/>
      <c r="B46" s="6"/>
      <c r="C46" s="6"/>
      <c r="D46" s="6"/>
    </row>
    <row r="47" spans="1:4">
      <c r="A47" s="13"/>
      <c r="B47" s="6"/>
      <c r="C47" s="6"/>
      <c r="D47" s="6"/>
    </row>
    <row r="48" spans="1:4">
      <c r="A48" s="13"/>
      <c r="B48" s="6"/>
      <c r="C48" s="6"/>
      <c r="D48" s="6"/>
    </row>
  </sheetData>
  <autoFilter ref="D15:D30">
    <filterColumn colId="0"/>
    <sortState ref="D16:D30">
      <sortCondition ref="D15:D30"/>
    </sortState>
  </autoFilter>
  <mergeCells count="1">
    <mergeCell ref="B2:Q2"/>
  </mergeCells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pageSetUpPr autoPageBreaks="0"/>
  </sheetPr>
  <dimension ref="B2:K7"/>
  <sheetViews>
    <sheetView view="normal" workbookViewId="0">
      <selection activeCell="D6" sqref="D6"/>
    </sheetView>
  </sheetViews>
  <sheetFormatPr baseColWidth="9" defaultColWidth="10.000000" defaultRowHeight="13.45"/>
  <cols>
    <col min="2" max="11" width="15.486486" customWidth="1"/>
  </cols>
  <sheetData>
    <row r="2" spans="2:11">
      <c r="B2" s="16" t="s">
        <v>111</v>
      </c>
      <c r="C2" s="16" t="s">
        <v>112</v>
      </c>
      <c r="D2" s="16" t="s">
        <v>52</v>
      </c>
      <c r="E2" s="16" t="s">
        <v>113</v>
      </c>
      <c r="F2" s="16" t="s">
        <v>114</v>
      </c>
      <c r="G2" s="16" t="s">
        <v>115</v>
      </c>
      <c r="H2" s="16" t="s">
        <v>116</v>
      </c>
      <c r="I2" s="16" t="s">
        <v>117</v>
      </c>
      <c r="J2" s="16" t="s">
        <v>16</v>
      </c>
      <c r="K2" s="16" t="s">
        <v>17</v>
      </c>
    </row>
    <row r="3" spans="2:11">
      <c r="B3" s="17" t="s">
        <v>118</v>
      </c>
      <c r="C3" s="24" t="n">
        <v>46269</v>
      </c>
      <c r="D3" s="17" t="s">
        <v>53</v>
      </c>
      <c r="E3" s="17" t="s">
        <v>119</v>
      </c>
      <c r="F3" s="17" t="n">
        <v>100</v>
      </c>
      <c r="G3" s="26" t="n">
        <v>35.5</v>
      </c>
      <c r="H3" s="27" t="n">
        <v>5</v>
      </c>
      <c r="I3" s="26">
        <f>F3*G3+H3</f>
        <v>3555</v>
      </c>
      <c r="J3" s="17" t="s">
        <v>108</v>
      </c>
      <c r="K3" s="17" t="s">
        <v>109</v>
      </c>
    </row>
    <row r="4" spans="2:11">
      <c r="B4" s="17" t="s">
        <v>120</v>
      </c>
      <c r="C4" s="24" t="n">
        <v>46270</v>
      </c>
      <c r="D4" s="17" t="s">
        <v>54</v>
      </c>
      <c r="E4" s="17" t="s">
        <v>119</v>
      </c>
      <c r="F4" s="17" t="n">
        <v>50</v>
      </c>
      <c r="G4" s="26" t="n">
        <v>62.7999999999999972</v>
      </c>
      <c r="H4" s="27" t="n">
        <v>4</v>
      </c>
      <c r="I4" s="26">
        <f>F4*G4+H4</f>
        <v>3144</v>
      </c>
      <c r="J4" s="17" t="s">
        <v>108</v>
      </c>
      <c r="K4" s="17" t="s">
        <v>109</v>
      </c>
    </row>
    <row r="5" spans="2:11">
      <c r="B5" s="17" t="s">
        <v>121</v>
      </c>
      <c r="C5" s="24" t="n">
        <v>46271</v>
      </c>
      <c r="D5" s="17" t="s">
        <v>55</v>
      </c>
      <c r="E5" s="17" t="s">
        <v>119</v>
      </c>
      <c r="F5" s="17" t="n">
        <v>80</v>
      </c>
      <c r="G5" s="26" t="n">
        <v>39.2000000000000028</v>
      </c>
      <c r="H5" s="27" t="n">
        <v>3.5</v>
      </c>
      <c r="I5" s="26">
        <f>F5*G5+H5</f>
        <v>3139.5</v>
      </c>
      <c r="J5" s="17" t="s">
        <v>108</v>
      </c>
      <c r="K5" s="17" t="s">
        <v>109</v>
      </c>
    </row>
    <row r="6" spans="2:11">
      <c r="B6" s="17" t="s">
        <v>122</v>
      </c>
      <c r="C6" s="24" t="n">
        <v>46272</v>
      </c>
      <c r="D6" s="17" t="s">
        <v>53</v>
      </c>
      <c r="E6" s="17" t="s">
        <v>123</v>
      </c>
      <c r="F6" s="17" t="n">
        <v>20</v>
      </c>
      <c r="G6" s="26" t="n">
        <v>36</v>
      </c>
      <c r="H6" s="27" t="n">
        <v>2</v>
      </c>
      <c r="I6" s="26">
        <f>F6*G6-H6</f>
        <v>718</v>
      </c>
      <c r="J6" s="17" t="s">
        <v>108</v>
      </c>
      <c r="K6" s="17" t="s">
        <v>109</v>
      </c>
    </row>
    <row r="7" spans="2:11">
      <c r="B7" s="17" t="s">
        <v>124</v>
      </c>
      <c r="C7" s="24" t="n">
        <v>46273</v>
      </c>
      <c r="D7" s="17" t="s">
        <v>57</v>
      </c>
      <c r="E7" s="17" t="s">
        <v>119</v>
      </c>
      <c r="F7" s="17" t="n">
        <v>30</v>
      </c>
      <c r="G7" s="26" t="n">
        <v>52.3999999999999986</v>
      </c>
      <c r="H7" s="27" t="n">
        <v>3</v>
      </c>
      <c r="I7" s="26">
        <f>F7*G7+H7</f>
        <v>1575</v>
      </c>
      <c r="J7" s="17" t="s">
        <v>108</v>
      </c>
      <c r="K7" s="17" t="s">
        <v>109</v>
      </c>
    </row>
  </sheetData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2:M7"/>
  <sheetViews>
    <sheetView view="normal" workbookViewId="0">
      <selection activeCell="C5" sqref="C5"/>
    </sheetView>
  </sheetViews>
  <sheetFormatPr baseColWidth="9" defaultColWidth="10.000000" defaultRowHeight="13.45"/>
  <cols>
    <col min="2" max="2" width="10.720721" customWidth="1" bestFit="1"/>
    <col min="4" max="4" width="19.522523" customWidth="1" bestFit="1"/>
    <col min="5" max="5" width="17.612613" customWidth="1" bestFit="1"/>
    <col min="6" max="6" width="15.216216" customWidth="1" bestFit="1"/>
    <col min="7" max="7" width="18.819820" customWidth="1" bestFit="1"/>
    <col min="8" max="8" width="13.081081" customWidth="1" bestFit="1"/>
    <col min="9" max="9" width="10.612613" customWidth="1" bestFit="1"/>
    <col min="10" max="10" width="12.882883" customWidth="1" bestFit="1"/>
    <col min="11" max="11" width="12.819820" customWidth="1" bestFit="1"/>
    <col min="12" max="12" width="11.801802" customWidth="1" bestFit="1"/>
    <col min="13" max="13" width="9.729730" customWidth="1" bestFit="1"/>
  </cols>
  <sheetData>
    <row r="2" spans="2:13">
      <c r="B2" s="16" t="s">
        <v>125</v>
      </c>
      <c r="C2" s="16" t="s">
        <v>52</v>
      </c>
      <c r="D2" s="16" t="s">
        <v>126</v>
      </c>
      <c r="E2" s="16" t="s">
        <v>127</v>
      </c>
      <c r="F2" s="16" t="s">
        <v>128</v>
      </c>
      <c r="G2" s="16" t="s">
        <v>129</v>
      </c>
      <c r="H2" s="16" t="s">
        <v>130</v>
      </c>
      <c r="I2" s="16" t="s">
        <v>131</v>
      </c>
      <c r="J2" s="16" t="s">
        <v>132</v>
      </c>
      <c r="K2" s="16" t="s">
        <v>133</v>
      </c>
      <c r="L2" s="40" t="s">
        <v>134</v>
      </c>
      <c r="M2" s="16" t="s">
        <v>16</v>
      </c>
    </row>
    <row r="3" spans="2:13">
      <c r="B3" s="4" t="s">
        <v>135</v>
      </c>
      <c r="C3" s="4" t="s">
        <v>53</v>
      </c>
      <c r="D3" s="4">
        <f>SUMIF(C3:C7,tbMovimentos!D3,tbMovimentos!F3:F7)</f>
        <v>100</v>
      </c>
      <c r="E3" s="4">
        <f>_xlfn.SUMIFS(tbMovimentos!F3:F7,tbMovimentos!D3:D7,C3,tbMovimentos!E3:E7,"Venda")</f>
        <v>20</v>
      </c>
      <c r="F3" s="4">
        <f>D3-E3</f>
        <v>80</v>
      </c>
      <c r="G3" s="11">
        <f>_xlfn.AVERAGEIFS(tbMovimentos!G3:G7,tbMovimentos!D3:D7,C3,tbMovimentos!E3:E7,"Compra")</f>
        <v>35.5</v>
      </c>
      <c r="H3" s="11">
        <f>F3*G3</f>
        <v>2840</v>
      </c>
      <c r="I3" s="11">
        <f>VLOOKUP(C3,tbPrecosMercado!C16:E30,3,0)</f>
        <v>35.2000000000000028</v>
      </c>
      <c r="J3" s="11">
        <f>F3*I3</f>
        <v>2816</v>
      </c>
      <c r="K3" s="37">
        <f>J3-H3</f>
        <v>-24</v>
      </c>
      <c r="L3" s="39">
        <f>K3/H3</f>
        <v>-0.00845070422535211208</v>
      </c>
      <c r="M3" s="17" t="s">
        <v>108</v>
      </c>
    </row>
    <row r="4" spans="2:13">
      <c r="B4" s="4" t="s">
        <v>136</v>
      </c>
      <c r="C4" s="4" t="s">
        <v>54</v>
      </c>
      <c r="D4" s="4">
        <f>SUMIF(tbMovimentos!D3:D7,C4,tbMovimentos!F3:F7)</f>
        <v>50</v>
      </c>
      <c r="E4" s="4">
        <f>_xlfn.SUMIFS(tbMovimentos!F3:F7,tbMovimentos!D3:D7,C4,tbMovimentos!E3:E7,"Venda")</f>
        <v>0</v>
      </c>
      <c r="F4" s="4">
        <f>D4-E4</f>
        <v>50</v>
      </c>
      <c r="G4" s="11">
        <f>_xlfn.AVERAGEIFS(tbMovimentos!G3:G7,tbMovimentos!D3:D7,C4,tbMovimentos!E3:E7,"Compra")</f>
        <v>62.7999999999999972</v>
      </c>
      <c r="H4" s="11">
        <f>F4*G4</f>
        <v>3140</v>
      </c>
      <c r="I4" s="11">
        <f>VLOOKUP(C4,tbPrecosMercado!C17:E31,3,0)</f>
        <v>62.3999999999999986</v>
      </c>
      <c r="J4" s="11">
        <f>F4*I4</f>
        <v>3120</v>
      </c>
      <c r="K4" s="37">
        <f>J4-H4</f>
        <v>-20</v>
      </c>
      <c r="L4" s="39">
        <f>K4/H4</f>
        <v>-0.00636942675159235616</v>
      </c>
      <c r="M4" s="4" t="s">
        <v>108</v>
      </c>
    </row>
    <row r="5" spans="2:13">
      <c r="B5" s="4" t="s">
        <v>137</v>
      </c>
      <c r="C5" s="4" t="s">
        <v>55</v>
      </c>
      <c r="D5" s="4">
        <f>SUMIF(tbMovimentos!D3:D7,C5,tbMovimentos!F3:F7)</f>
        <v>80</v>
      </c>
      <c r="E5" s="4">
        <f>_xlfn.SUMIFS(tbMovimentos!F4:F8,tbMovimentos!D4:D8,C5,tbMovimentos!E4:E8,"Venda")</f>
        <v>0</v>
      </c>
      <c r="F5" s="4">
        <f>D5-E5</f>
        <v>80</v>
      </c>
      <c r="G5" s="11">
        <f>_xlfn.AVERAGEIFS(tbMovimentos!G3:G7,tbMovimentos!D3:D7,C5,tbMovimentos!E3:E7,"Compra")</f>
        <v>39.2000000000000028</v>
      </c>
      <c r="H5" s="11">
        <f>F5*G5</f>
        <v>3136</v>
      </c>
      <c r="I5" s="11">
        <f>VLOOKUP(C5,tbPrecosMercado!C18:E32,3,0)</f>
        <v>38.5</v>
      </c>
      <c r="J5" s="11">
        <f>F5*I5</f>
        <v>3080</v>
      </c>
      <c r="K5" s="37">
        <f>J5-H5</f>
        <v>-56</v>
      </c>
      <c r="L5" s="39">
        <f>K5/H5</f>
        <v>-0.0178571428571428559</v>
      </c>
      <c r="M5" s="4" t="s">
        <v>108</v>
      </c>
    </row>
    <row r="6" spans="2:13">
      <c r="B6" s="4" t="s">
        <v>138</v>
      </c>
      <c r="C6" s="4" t="s">
        <v>56</v>
      </c>
      <c r="D6" s="4">
        <f>SUMIF(tbMovimentos!D3:D7,C6,tbMovimentos!F3:F7)</f>
        <v>0</v>
      </c>
      <c r="E6" s="4">
        <f>_xlfn.SUMIFS(tbMovimentos!F5:F9,tbMovimentos!D5:D9,C6,tbMovimentos!E5:E9,"Venda")</f>
        <v>0</v>
      </c>
      <c r="F6" s="4">
        <f>D6-E6</f>
        <v>0</v>
      </c>
      <c r="G6" s="11">
        <f>IFERROR(_xlfn.AVERAGEIFS(tbMovimentos!G3:G7,tbMovimentos!D3:D7,C6,tbMovimentos!E3:E7,"Compra"),0)</f>
        <v>0</v>
      </c>
      <c r="H6" s="11">
        <f>F6*G6</f>
        <v>0</v>
      </c>
      <c r="I6" s="11">
        <f>VLOOKUP(C6,tbPrecosMercado!C19:E33,3,0)</f>
        <v>14.8000000000000007</v>
      </c>
      <c r="J6" s="11">
        <f>F6*I6</f>
        <v>0</v>
      </c>
      <c r="K6" s="37">
        <f>J6-H6</f>
        <v>0</v>
      </c>
      <c r="L6" s="38" t="str">
        <f>IFERROR(K6/J6,"0")</f>
        <v>0</v>
      </c>
      <c r="M6" s="4" t="s">
        <v>108</v>
      </c>
    </row>
    <row r="7" spans="2:13">
      <c r="B7" s="4" t="s">
        <v>139</v>
      </c>
      <c r="C7" s="4" t="s">
        <v>57</v>
      </c>
      <c r="D7" s="4">
        <f>SUMIF(tbMovimentos!D3:D7,C7,tbMovimentos!F3:F7)</f>
        <v>30</v>
      </c>
      <c r="E7" s="4">
        <f>_xlfn.SUMIFS(tbMovimentos!F3:F7,tbMovimentos!D3:D7,C7,tbMovimentos!E3:E7,"Venda")</f>
        <v>0</v>
      </c>
      <c r="F7" s="4">
        <f>D7-E7</f>
        <v>30</v>
      </c>
      <c r="G7" s="11">
        <f>_xlfn.AVERAGEIFS(tbMovimentos!G5:G9,tbMovimentos!D5:D9,C7,tbMovimentos!E5:E9,"Compra")</f>
        <v>52.3999999999999986</v>
      </c>
      <c r="H7" s="11">
        <f>F7*G7</f>
        <v>1572</v>
      </c>
      <c r="I7" s="11">
        <f>VLOOKUP(C7,tbPrecosMercado!C20:E34,3,0)</f>
        <v>52</v>
      </c>
      <c r="J7" s="11">
        <f>F7*I7</f>
        <v>1560</v>
      </c>
      <c r="K7" s="37">
        <f>J7-H7</f>
        <v>-12</v>
      </c>
      <c r="L7" s="39">
        <f>K7/H7</f>
        <v>-0.00763358778625954226</v>
      </c>
      <c r="M7" s="4" t="s">
        <v>108</v>
      </c>
    </row>
  </sheetData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pageSetUpPr autoPageBreaks="0"/>
  </sheetPr>
  <dimension ref="B2:N7"/>
  <sheetViews>
    <sheetView view="normal" topLeftCell="D1" workbookViewId="0">
      <selection activeCell="J18" sqref="J18"/>
    </sheetView>
  </sheetViews>
  <sheetFormatPr baseColWidth="9" defaultColWidth="10.000000" defaultRowHeight="13.45"/>
  <cols>
    <col min="3" max="3" width="10.819820" customWidth="1" bestFit="1"/>
    <col min="5" max="6" width="14.756757" customWidth="1"/>
    <col min="7" max="7" width="15.675676" customWidth="1" bestFit="1"/>
    <col min="8" max="9" width="14.756757" customWidth="1"/>
    <col min="10" max="11" width="21.621622" customWidth="1" bestFit="1"/>
    <col min="12" max="12" width="14.756757" customWidth="1"/>
    <col min="13" max="13" width="17.657658" customWidth="1" bestFit="1"/>
  </cols>
  <sheetData>
    <row r="2" spans="2:14">
      <c r="B2" s="16" t="s">
        <v>140</v>
      </c>
      <c r="C2" s="16" t="s">
        <v>8</v>
      </c>
      <c r="D2" s="16" t="s">
        <v>141</v>
      </c>
      <c r="E2" s="16" t="s">
        <v>142</v>
      </c>
      <c r="F2" s="16" t="s">
        <v>143</v>
      </c>
      <c r="G2" s="16" t="s">
        <v>144</v>
      </c>
      <c r="H2" s="16" t="s">
        <v>145</v>
      </c>
      <c r="I2" s="16" t="s">
        <v>146</v>
      </c>
      <c r="J2" s="16" t="s">
        <v>147</v>
      </c>
      <c r="K2" s="16" t="s">
        <v>148</v>
      </c>
      <c r="L2" s="16" t="s">
        <v>149</v>
      </c>
      <c r="M2" s="16" t="s">
        <v>150</v>
      </c>
      <c r="N2" s="16" t="s">
        <v>16</v>
      </c>
    </row>
    <row r="3" spans="2:14">
      <c r="B3" s="4" t="s">
        <v>151</v>
      </c>
      <c r="C3" s="4" t="s">
        <v>19</v>
      </c>
      <c r="D3" s="41" t="n">
        <v>46295</v>
      </c>
      <c r="E3" s="43" t="n">
        <v>5000000</v>
      </c>
      <c r="F3" s="42" t="n">
        <v>500000</v>
      </c>
      <c r="G3" s="43">
        <f>E3-F3</f>
        <v>4500000</v>
      </c>
      <c r="H3" s="42" t="n">
        <v>2500000</v>
      </c>
      <c r="I3" s="43">
        <f>G3-H3</f>
        <v>2000000</v>
      </c>
      <c r="J3" s="43" t="n">
        <v>800000</v>
      </c>
      <c r="K3" s="43">
        <f>I3-J3</f>
        <v>1200000</v>
      </c>
      <c r="L3" s="42" t="n">
        <v>300000</v>
      </c>
      <c r="M3" s="43">
        <f>K3-L3</f>
        <v>900000</v>
      </c>
      <c r="N3" s="4" t="s">
        <v>108</v>
      </c>
    </row>
    <row r="4" spans="2:14">
      <c r="B4" s="4" t="s">
        <v>152</v>
      </c>
      <c r="C4" s="4" t="s">
        <v>28</v>
      </c>
      <c r="D4" s="41" t="n">
        <v>46295</v>
      </c>
      <c r="E4" s="43" t="n">
        <v>4200000</v>
      </c>
      <c r="F4" s="42" t="n">
        <v>420000</v>
      </c>
      <c r="G4" s="43">
        <f>E4-F4</f>
        <v>3780000</v>
      </c>
      <c r="H4" s="42" t="n">
        <v>2200000</v>
      </c>
      <c r="I4" s="43">
        <f>G4-H4</f>
        <v>1580000</v>
      </c>
      <c r="J4" s="43" t="n">
        <v>650000</v>
      </c>
      <c r="K4" s="43">
        <f>I4-J4</f>
        <v>930000</v>
      </c>
      <c r="L4" s="42" t="n">
        <v>232500</v>
      </c>
      <c r="M4" s="43">
        <f>K4-L4</f>
        <v>697500</v>
      </c>
      <c r="N4" s="4" t="s">
        <v>108</v>
      </c>
    </row>
    <row r="5" spans="2:14">
      <c r="B5" s="4" t="s">
        <v>153</v>
      </c>
      <c r="C5" s="4" t="s">
        <v>33</v>
      </c>
      <c r="D5" s="41" t="n">
        <v>46295</v>
      </c>
      <c r="E5" s="43" t="n">
        <v>6000000</v>
      </c>
      <c r="F5" s="42" t="n">
        <v>600000</v>
      </c>
      <c r="G5" s="43">
        <f>E5-F5</f>
        <v>5400000</v>
      </c>
      <c r="H5" s="42" t="n">
        <v>2700000</v>
      </c>
      <c r="I5" s="43">
        <f>G5-H5</f>
        <v>2700000</v>
      </c>
      <c r="J5" s="43" t="n">
        <v>900000</v>
      </c>
      <c r="K5" s="43">
        <f>I5-J5</f>
        <v>1800000</v>
      </c>
      <c r="L5" s="42" t="n">
        <v>450000</v>
      </c>
      <c r="M5" s="43">
        <f>K5-L5</f>
        <v>1350000</v>
      </c>
      <c r="N5" s="4" t="s">
        <v>108</v>
      </c>
    </row>
    <row r="6" spans="2:14">
      <c r="B6" s="4" t="s">
        <v>154</v>
      </c>
      <c r="C6" s="4" t="s">
        <v>39</v>
      </c>
      <c r="D6" s="41" t="n">
        <v>46295</v>
      </c>
      <c r="E6" s="43" t="n">
        <v>3500000</v>
      </c>
      <c r="F6" s="42" t="n">
        <v>350000</v>
      </c>
      <c r="G6" s="43">
        <f>E6-F6</f>
        <v>3150000</v>
      </c>
      <c r="H6" s="42" t="n">
        <v>1700000</v>
      </c>
      <c r="I6" s="43">
        <f>G6-H6</f>
        <v>1450000</v>
      </c>
      <c r="J6" s="43" t="n">
        <v>600000</v>
      </c>
      <c r="K6" s="43">
        <f>I6-J6</f>
        <v>850000</v>
      </c>
      <c r="L6" s="42" t="n">
        <v>212500</v>
      </c>
      <c r="M6" s="43">
        <f>K6-L6</f>
        <v>637500</v>
      </c>
      <c r="N6" s="4" t="s">
        <v>108</v>
      </c>
    </row>
    <row r="7" spans="2:14">
      <c r="B7" s="4" t="s">
        <v>155</v>
      </c>
      <c r="C7" s="4" t="s">
        <v>45</v>
      </c>
      <c r="D7" s="41" t="n">
        <v>46295</v>
      </c>
      <c r="E7" s="43" t="n">
        <v>2800000</v>
      </c>
      <c r="F7" s="42" t="n">
        <v>280000</v>
      </c>
      <c r="G7" s="43">
        <f>E7-F7</f>
        <v>2520000</v>
      </c>
      <c r="H7" s="42" t="n">
        <v>1200000</v>
      </c>
      <c r="I7" s="43">
        <f>G7-H7</f>
        <v>1320000</v>
      </c>
      <c r="J7" s="43" t="n">
        <v>500000</v>
      </c>
      <c r="K7" s="43">
        <f>I7-J7</f>
        <v>820000</v>
      </c>
      <c r="L7" s="42" t="n">
        <v>205000</v>
      </c>
      <c r="M7" s="43">
        <f>K7-L7</f>
        <v>615000</v>
      </c>
      <c r="N7" s="4" t="s">
        <v>108</v>
      </c>
    </row>
  </sheetData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2:N7"/>
  <sheetViews>
    <sheetView view="normal" topLeftCell="F1" workbookViewId="0">
      <selection activeCell="C7" sqref="C7"/>
    </sheetView>
  </sheetViews>
  <sheetFormatPr baseColWidth="9" defaultColWidth="10.000000" defaultRowHeight="13.45"/>
  <cols>
    <col min="2" max="14" width="20.936937" customWidth="1"/>
  </cols>
  <sheetData>
    <row r="2" spans="2:14">
      <c r="B2" s="16" t="s">
        <v>156</v>
      </c>
      <c r="C2" s="16" t="s">
        <v>8</v>
      </c>
      <c r="D2" s="16" t="s">
        <v>141</v>
      </c>
      <c r="E2" s="16" t="s">
        <v>157</v>
      </c>
      <c r="F2" s="16" t="s">
        <v>158</v>
      </c>
      <c r="G2" s="16" t="s">
        <v>159</v>
      </c>
      <c r="H2" s="16" t="s">
        <v>160</v>
      </c>
      <c r="I2" s="16" t="s">
        <v>161</v>
      </c>
      <c r="J2" s="16" t="s">
        <v>162</v>
      </c>
      <c r="K2" s="16" t="s">
        <v>163</v>
      </c>
      <c r="L2" s="16" t="s">
        <v>164</v>
      </c>
      <c r="M2" s="16" t="s">
        <v>165</v>
      </c>
      <c r="N2" s="16" t="s">
        <v>16</v>
      </c>
    </row>
    <row r="3" spans="2:14">
      <c r="B3" s="37" t="s">
        <v>166</v>
      </c>
      <c r="C3" s="37" t="s">
        <v>19</v>
      </c>
      <c r="D3" s="5" t="n">
        <v>46295</v>
      </c>
      <c r="E3" s="37" t="n">
        <v>1800</v>
      </c>
      <c r="F3" s="37" t="n">
        <v>4200</v>
      </c>
      <c r="G3" s="37">
        <f>SUM(E3,F3)</f>
        <v>6000</v>
      </c>
      <c r="H3" s="37" t="n">
        <v>1200</v>
      </c>
      <c r="I3" s="37" t="n">
        <v>1800</v>
      </c>
      <c r="J3" s="37">
        <f>SUM(H3,I3)</f>
        <v>3000</v>
      </c>
      <c r="K3" s="37">
        <f>G3-J3</f>
        <v>3000</v>
      </c>
      <c r="L3" s="37">
        <f>K3+J3</f>
        <v>6000</v>
      </c>
      <c r="M3" s="37" t="str">
        <f>IF(G3=L3,"Ok","Verificar")</f>
        <v>Ok</v>
      </c>
      <c r="N3" s="37" t="s">
        <v>108</v>
      </c>
    </row>
    <row r="4" spans="2:14">
      <c r="B4" s="37" t="s">
        <v>167</v>
      </c>
      <c r="C4" s="37" t="s">
        <v>28</v>
      </c>
      <c r="D4" s="5" t="n">
        <v>46295</v>
      </c>
      <c r="E4" s="37" t="n">
        <v>1500</v>
      </c>
      <c r="F4" s="37" t="n">
        <v>3500</v>
      </c>
      <c r="G4" s="37">
        <f>SUM(E4,F4)</f>
        <v>5000</v>
      </c>
      <c r="H4" s="37" t="n">
        <v>1000</v>
      </c>
      <c r="I4" s="37" t="n">
        <v>1500</v>
      </c>
      <c r="J4" s="37">
        <f>SUM(H4,I4)</f>
        <v>2500</v>
      </c>
      <c r="K4" s="37">
        <f>G4-J4</f>
        <v>2500</v>
      </c>
      <c r="L4" s="37">
        <f>K4+J4</f>
        <v>5000</v>
      </c>
      <c r="M4" s="37" t="str">
        <f>IF(G4=L4,"Ok","Verificar")</f>
        <v>Ok</v>
      </c>
      <c r="N4" s="37" t="s">
        <v>108</v>
      </c>
    </row>
    <row r="5" spans="2:14">
      <c r="B5" s="37" t="s">
        <v>168</v>
      </c>
      <c r="C5" s="37" t="s">
        <v>33</v>
      </c>
      <c r="D5" s="5" t="n">
        <v>46295</v>
      </c>
      <c r="E5" s="37" t="n">
        <v>2200</v>
      </c>
      <c r="F5" s="37" t="n">
        <v>4800</v>
      </c>
      <c r="G5" s="37">
        <f>SUM(E5,F5)</f>
        <v>7000</v>
      </c>
      <c r="H5" s="37" t="n">
        <v>1400</v>
      </c>
      <c r="I5" s="37" t="n">
        <v>2100</v>
      </c>
      <c r="J5" s="37">
        <f>SUM(H5,I5)</f>
        <v>3500</v>
      </c>
      <c r="K5" s="37">
        <f>G5-J5</f>
        <v>3500</v>
      </c>
      <c r="L5" s="37">
        <f>K5+J5</f>
        <v>7000</v>
      </c>
      <c r="M5" s="37" t="str">
        <f>IF(G5=L5,"Ok","Verificar")</f>
        <v>Ok</v>
      </c>
      <c r="N5" s="37" t="s">
        <v>108</v>
      </c>
    </row>
    <row r="6" spans="2:14">
      <c r="B6" s="37" t="s">
        <v>169</v>
      </c>
      <c r="C6" s="37" t="s">
        <v>39</v>
      </c>
      <c r="D6" s="5" t="n">
        <v>46295</v>
      </c>
      <c r="E6" s="37" t="n">
        <v>1100</v>
      </c>
      <c r="F6" s="37" t="n">
        <v>2900</v>
      </c>
      <c r="G6" s="37">
        <f>SUM(E6,F6)</f>
        <v>4000</v>
      </c>
      <c r="H6" s="37" t="n">
        <v>800</v>
      </c>
      <c r="I6" s="37" t="n">
        <v>1200</v>
      </c>
      <c r="J6" s="37">
        <f>SUM(H6,I6)</f>
        <v>2000</v>
      </c>
      <c r="K6" s="37">
        <f>G6-J6</f>
        <v>2000</v>
      </c>
      <c r="L6" s="37">
        <f>K6+J6</f>
        <v>4000</v>
      </c>
      <c r="M6" s="37" t="str">
        <f>IF(G6=L6,"Ok","Verificar")</f>
        <v>Ok</v>
      </c>
      <c r="N6" s="37" t="s">
        <v>108</v>
      </c>
    </row>
    <row r="7" spans="2:14">
      <c r="B7" s="37" t="s">
        <v>170</v>
      </c>
      <c r="C7" s="37" t="s">
        <v>45</v>
      </c>
      <c r="D7" s="5" t="n">
        <v>46295</v>
      </c>
      <c r="E7" s="37" t="n">
        <v>900</v>
      </c>
      <c r="F7" s="37" t="n">
        <v>2600</v>
      </c>
      <c r="G7" s="37">
        <f>SUM(E7,F7)</f>
        <v>3500</v>
      </c>
      <c r="H7" s="37" t="n">
        <v>700</v>
      </c>
      <c r="I7" s="37" t="n">
        <v>1000</v>
      </c>
      <c r="J7" s="37">
        <f>SUM(H7,I7)</f>
        <v>1700</v>
      </c>
      <c r="K7" s="37">
        <f>G7-J7</f>
        <v>1800</v>
      </c>
      <c r="L7" s="37">
        <f>K7+J7</f>
        <v>3500</v>
      </c>
      <c r="M7" s="37" t="str">
        <f>IF(G7=L7,"Ok","Verificar")</f>
        <v>Ok</v>
      </c>
      <c r="N7" s="37" t="s">
        <v>108</v>
      </c>
    </row>
  </sheetData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2:O7"/>
  <sheetViews>
    <sheetView view="normal" topLeftCell="G1" workbookViewId="0">
      <selection activeCell="I4" sqref="I4"/>
    </sheetView>
  </sheetViews>
  <sheetFormatPr baseColWidth="9" defaultColWidth="10.000000" defaultRowHeight="13.45"/>
  <cols>
    <col min="2" max="4" width="20.567568" customWidth="1"/>
    <col min="5" max="5" width="21.621622" customWidth="1" bestFit="1"/>
    <col min="6" max="7" width="20.567568" customWidth="1"/>
    <col min="8" max="8" width="21.621622" customWidth="1" bestFit="1"/>
    <col min="9" max="10" width="20.567568" customWidth="1"/>
    <col min="11" max="11" width="22.612613" customWidth="1" bestFit="1"/>
    <col min="12" max="15" width="20.567568" customWidth="1"/>
  </cols>
  <sheetData>
    <row r="2" spans="2:15">
      <c r="B2" s="16" t="s">
        <v>171</v>
      </c>
      <c r="C2" s="16" t="s">
        <v>8</v>
      </c>
      <c r="D2" s="16" t="s">
        <v>141</v>
      </c>
      <c r="E2" s="16" t="s">
        <v>172</v>
      </c>
      <c r="F2" s="16" t="s">
        <v>173</v>
      </c>
      <c r="G2" s="16" t="s">
        <v>174</v>
      </c>
      <c r="H2" s="16" t="s">
        <v>175</v>
      </c>
      <c r="I2" s="16" t="s">
        <v>176</v>
      </c>
      <c r="J2" s="16" t="s">
        <v>177</v>
      </c>
      <c r="K2" s="16" t="s">
        <v>178</v>
      </c>
      <c r="L2" s="16" t="s">
        <v>179</v>
      </c>
      <c r="M2" s="16" t="s">
        <v>180</v>
      </c>
      <c r="N2" s="16" t="s">
        <v>181</v>
      </c>
      <c r="O2" s="16" t="s">
        <v>16</v>
      </c>
    </row>
    <row r="3" spans="2:15">
      <c r="B3" s="37" t="s">
        <v>182</v>
      </c>
      <c r="C3" s="37" t="s">
        <v>19</v>
      </c>
      <c r="D3" s="5" t="n">
        <v>46295</v>
      </c>
      <c r="E3" s="37" t="n">
        <v>900000</v>
      </c>
      <c r="F3" s="37" t="n">
        <v>550000</v>
      </c>
      <c r="G3" s="37">
        <f>SUM(E3,-F3)</f>
        <v>350000</v>
      </c>
      <c r="H3" s="37" t="n">
        <v>20000</v>
      </c>
      <c r="I3" s="37" t="n">
        <v>180000</v>
      </c>
      <c r="J3" s="44">
        <f>SUM(H3,-I3)</f>
        <v>-160000</v>
      </c>
      <c r="K3" s="37" t="n">
        <v>100000</v>
      </c>
      <c r="L3" s="37" t="n">
        <v>120000</v>
      </c>
      <c r="M3" s="44">
        <f>SUM(K3,-L3)</f>
        <v>-20000</v>
      </c>
      <c r="N3" s="37">
        <f>SUM(G3,J3,M3)</f>
        <v>170000</v>
      </c>
      <c r="O3" s="37" t="s">
        <v>108</v>
      </c>
    </row>
    <row r="4" spans="2:15">
      <c r="B4" s="37" t="s">
        <v>183</v>
      </c>
      <c r="C4" s="37" t="s">
        <v>28</v>
      </c>
      <c r="D4" s="5" t="n">
        <v>46295</v>
      </c>
      <c r="E4" s="37" t="n">
        <v>750000</v>
      </c>
      <c r="F4" s="37" t="n">
        <v>400000</v>
      </c>
      <c r="G4" s="37">
        <f>SUM(E4,-F4)</f>
        <v>350000</v>
      </c>
      <c r="H4" s="37" t="n">
        <v>15000</v>
      </c>
      <c r="I4" s="37" t="n">
        <v>220000</v>
      </c>
      <c r="J4" s="44">
        <f>SUM(H4,-I4)</f>
        <v>-205000</v>
      </c>
      <c r="K4" s="37" t="n">
        <v>80000</v>
      </c>
      <c r="L4" s="37" t="n">
        <v>90000</v>
      </c>
      <c r="M4" s="44">
        <f>SUM(K4,-L4)</f>
        <v>-10000</v>
      </c>
      <c r="N4" s="37">
        <f>SUM(G4,J4,M4)</f>
        <v>135000</v>
      </c>
      <c r="O4" s="37" t="s">
        <v>108</v>
      </c>
    </row>
    <row r="5" spans="2:15">
      <c r="B5" s="37" t="s">
        <v>184</v>
      </c>
      <c r="C5" s="37" t="s">
        <v>33</v>
      </c>
      <c r="D5" s="5" t="n">
        <v>46295</v>
      </c>
      <c r="E5" s="37" t="n">
        <v>1000000</v>
      </c>
      <c r="F5" s="37" t="n">
        <v>650000</v>
      </c>
      <c r="G5" s="37">
        <f>SUM(E5,-F5)</f>
        <v>350000</v>
      </c>
      <c r="H5" s="37" t="n">
        <v>30000</v>
      </c>
      <c r="I5" s="37" t="n">
        <v>250000</v>
      </c>
      <c r="J5" s="44">
        <f>SUM(H5,-I5)</f>
        <v>-220000</v>
      </c>
      <c r="K5" s="37" t="n">
        <v>150000</v>
      </c>
      <c r="L5" s="37" t="n">
        <v>100000</v>
      </c>
      <c r="M5" s="37">
        <f>SUM(K5,-L5)</f>
        <v>50000</v>
      </c>
      <c r="N5" s="37">
        <f>SUM(G5,J5,M5)</f>
        <v>180000</v>
      </c>
      <c r="O5" s="37" t="s">
        <v>108</v>
      </c>
    </row>
    <row r="6" spans="2:15">
      <c r="B6" s="37" t="s">
        <v>185</v>
      </c>
      <c r="C6" s="37" t="s">
        <v>39</v>
      </c>
      <c r="D6" s="5" t="n">
        <v>46295</v>
      </c>
      <c r="E6" s="37" t="n">
        <v>500000</v>
      </c>
      <c r="F6" s="37" t="n">
        <v>300000</v>
      </c>
      <c r="G6" s="37">
        <f>SUM(E6,-F6)</f>
        <v>200000</v>
      </c>
      <c r="H6" s="37" t="n">
        <v>10000</v>
      </c>
      <c r="I6" s="37" t="n">
        <v>90000</v>
      </c>
      <c r="J6" s="44">
        <f>SUM(H6,-I6)</f>
        <v>-80000</v>
      </c>
      <c r="K6" s="37" t="n">
        <v>50000</v>
      </c>
      <c r="L6" s="37" t="n">
        <v>40000</v>
      </c>
      <c r="M6" s="37">
        <f>SUM(K6,-L6)</f>
        <v>10000</v>
      </c>
      <c r="N6" s="37">
        <f>SUM(G6,J6,M6)</f>
        <v>130000</v>
      </c>
      <c r="O6" s="37" t="s">
        <v>108</v>
      </c>
    </row>
    <row r="7" spans="2:15">
      <c r="B7" s="37" t="s">
        <v>186</v>
      </c>
      <c r="C7" s="37" t="s">
        <v>45</v>
      </c>
      <c r="D7" s="5" t="n">
        <v>46295</v>
      </c>
      <c r="E7" s="37" t="n">
        <v>420000</v>
      </c>
      <c r="F7" s="37" t="n">
        <v>250000</v>
      </c>
      <c r="G7" s="37">
        <f>SUM(E7,-F7)</f>
        <v>170000</v>
      </c>
      <c r="H7" s="37" t="n">
        <v>12000</v>
      </c>
      <c r="I7" s="37" t="n">
        <v>110000</v>
      </c>
      <c r="J7" s="44">
        <f>SUM(H7,-I7)</f>
        <v>-98000</v>
      </c>
      <c r="K7" s="37" t="n">
        <v>30000</v>
      </c>
      <c r="L7" s="37" t="n">
        <v>50000</v>
      </c>
      <c r="M7" s="44">
        <f>SUM(K7,-L7)</f>
        <v>-20000</v>
      </c>
      <c r="N7" s="37">
        <f>SUM(G7,J7,M7)</f>
        <v>52000</v>
      </c>
      <c r="O7" s="37" t="s">
        <v>108</v>
      </c>
    </row>
  </sheetData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2:C17"/>
  <sheetViews>
    <sheetView view="normal" workbookViewId="0">
      <selection activeCell="C16" sqref="C16"/>
    </sheetView>
  </sheetViews>
  <sheetFormatPr baseColWidth="9" defaultColWidth="10.000000" defaultRowHeight="13.45"/>
  <cols>
    <col min="2" max="2" width="37.477477" customWidth="1" bestFit="1"/>
    <col min="3" max="3" width="15.729730" customWidth="1" bestFit="1"/>
    <col min="4" max="4" width="37.477477" customWidth="1" bestFit="1"/>
    <col min="5" max="5" width="16.909910" customWidth="1" bestFit="1"/>
    <col min="6" max="6" width="25.675676" customWidth="1" bestFit="1"/>
    <col min="7" max="7" width="11.414414" customWidth="1" bestFit="1"/>
    <col min="8" max="8" width="13.711712" customWidth="1" bestFit="1"/>
    <col min="9" max="9" width="20.009009" customWidth="1" bestFit="1"/>
    <col min="10" max="10" width="18.711712" customWidth="1" bestFit="1"/>
  </cols>
  <sheetData>
    <row r="2" spans="2:3">
      <c r="B2" s="45" t="s">
        <v>187</v>
      </c>
      <c r="C2" s="45" t="s">
        <v>188</v>
      </c>
    </row>
    <row r="3" spans="2:3">
      <c r="B3" s="16" t="s">
        <v>189</v>
      </c>
      <c r="C3" s="37">
        <f>SUM(Base_DRE!G3:G7)</f>
        <v>19350000</v>
      </c>
    </row>
    <row r="4" spans="2:3">
      <c r="B4" s="16" t="s">
        <v>190</v>
      </c>
      <c r="C4" s="37">
        <f>SUM(Base_DRE!M3:M7)</f>
        <v>4200000</v>
      </c>
    </row>
    <row r="5" spans="2:3">
      <c r="B5" s="16" t="s">
        <v>191</v>
      </c>
      <c r="C5" s="37">
        <f>SUM(Base_DFC!N3:N7)</f>
        <v>667000</v>
      </c>
    </row>
    <row r="6" spans="2:3">
      <c r="B6" s="16" t="s">
        <v>192</v>
      </c>
      <c r="C6" s="37">
        <f>SUM(Base_BP!G3:G7)</f>
        <v>25500</v>
      </c>
    </row>
    <row r="7" spans="2:3">
      <c r="B7" s="16" t="s">
        <v>193</v>
      </c>
      <c r="C7" s="37">
        <f>SUM(Base_BP!J3:J7)</f>
        <v>12700</v>
      </c>
    </row>
    <row r="8" spans="2:3">
      <c r="B8" s="16" t="s">
        <v>194</v>
      </c>
      <c r="C8" s="37">
        <f>SUM(Base_BP!K3:K7)</f>
        <v>12800</v>
      </c>
    </row>
    <row r="9" spans="2:3">
      <c r="B9" s="16" t="s">
        <v>195</v>
      </c>
      <c r="C9" s="48">
        <f>COUNTA(Base_DRE!C3:C7)</f>
        <v>5</v>
      </c>
    </row>
    <row r="11" spans="2:3">
      <c r="B11" s="45" t="s">
        <v>196</v>
      </c>
      <c r="C11" s="45" t="s">
        <v>188</v>
      </c>
    </row>
    <row r="12" spans="2:3">
      <c r="B12" s="16" t="s">
        <v>197</v>
      </c>
      <c r="C12" s="37">
        <f>IFERROR(C4/C3,0)</f>
        <v>0.217054263565891459</v>
      </c>
    </row>
    <row r="13" spans="2:3">
      <c r="B13" s="16" t="s">
        <v>198</v>
      </c>
      <c r="C13" s="46">
        <f>IFERROR(SUM(Base_DRE!K3:K7)/C3,0)</f>
        <v>0.289405684754521921</v>
      </c>
    </row>
    <row r="14" spans="2:3">
      <c r="B14" s="16" t="s">
        <v>199</v>
      </c>
      <c r="C14" s="46">
        <f>IFERROR(SUM(tbCarteiraInvestimento!K3:K7)/SUM(tbCarteiraInvestimento!H3:H7),0)</f>
        <v>-0.010479041916167664</v>
      </c>
    </row>
    <row r="15" spans="2:3">
      <c r="B15" s="16" t="s">
        <v>200</v>
      </c>
      <c r="C15" s="47">
        <f>IFERROR(C6/C7,0)</f>
        <v>2.00787401574803148</v>
      </c>
    </row>
    <row r="16" spans="2:3">
      <c r="B16" s="16" t="s">
        <v>201</v>
      </c>
      <c r="C16" s="48">
        <f>COUNTIF(Base_DRE!M3:M7,"&gt;0")</f>
        <v>5</v>
      </c>
    </row>
    <row r="17" spans="2:3">
      <c r="B17" s="16" t="s">
        <v>202</v>
      </c>
      <c r="C17" s="48">
        <f>COUNTIF(Base_DFC!N3:N7,"&gt;0")</f>
        <v>5</v>
      </c>
    </row>
  </sheetData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pageSetUpPr autoPageBreaks="0"/>
  </sheetPr>
  <dimension ref="A3:E20"/>
  <sheetViews>
    <sheetView view="normal" workbookViewId="0">
      <selection activeCell="I27" sqref="I27"/>
    </sheetView>
  </sheetViews>
  <sheetFormatPr baseColWidth="9" defaultColWidth="10.000000" defaultRowHeight="13.45"/>
  <cols>
    <col min="1" max="1" width="11.756757" customWidth="1"/>
    <col min="4" max="4" width="33.243243" customWidth="1"/>
    <col min="5" max="5" width="43.918919" customWidth="1"/>
    <col min="7" max="7" width="12.090090" customWidth="1"/>
    <col min="10" max="10" width="18.711712" customWidth="1" bestFit="1"/>
  </cols>
  <sheetData>
    <row r="3" spans="4:5">
      <c r="D3" s="52" t="s">
        <v>203</v>
      </c>
      <c r="E3" s="53"/>
    </row>
    <row r="4" spans="4:5">
      <c r="D4" s="54" t="s">
        <v>204</v>
      </c>
      <c r="E4" s="55"/>
    </row>
    <row r="5" spans="1:5">
      <c r="A5" s="49"/>
      <c r="D5" s="56" t="s">
        <v>205</v>
      </c>
      <c r="E5" s="56" t="s">
        <v>206</v>
      </c>
    </row>
    <row r="6" spans="4:5">
      <c r="D6" s="57">
        <f>Indicadores!C3</f>
        <v>19350000</v>
      </c>
      <c r="E6" s="57">
        <f>Indicadores!C4</f>
        <v>4200000</v>
      </c>
    </row>
    <row r="7" spans="4:5">
      <c r="D7" s="50"/>
      <c r="E7" s="51"/>
    </row>
    <row r="8" spans="4:5">
      <c r="D8" s="56" t="s">
        <v>207</v>
      </c>
      <c r="E8" s="56" t="s">
        <v>208</v>
      </c>
    </row>
    <row r="9" spans="4:5">
      <c r="D9" s="57">
        <f>Indicadores!C5</f>
        <v>667000</v>
      </c>
      <c r="E9" s="58">
        <f>Indicadores!C9</f>
        <v>5</v>
      </c>
    </row>
    <row r="10" spans="4:5">
      <c r="D10" s="50"/>
      <c r="E10" s="51"/>
    </row>
    <row r="11" spans="4:5">
      <c r="D11" s="56" t="s">
        <v>209</v>
      </c>
      <c r="E11" s="56" t="s">
        <v>210</v>
      </c>
    </row>
    <row r="12" spans="4:5">
      <c r="D12" s="59">
        <f>Indicadores!C13</f>
        <v>0.289405684754521921</v>
      </c>
      <c r="E12" s="59">
        <f>Indicadores!C14</f>
        <v>-0.010479041916167664</v>
      </c>
    </row>
    <row r="15" spans="4:5">
      <c r="D15" s="56" t="s">
        <v>211</v>
      </c>
      <c r="E15" s="56" t="s">
        <v>212</v>
      </c>
    </row>
    <row r="16" spans="4:5">
      <c r="D16" s="59" t="s">
        <v>213</v>
      </c>
      <c r="E16" s="60">
        <f>Base_DRE!M3</f>
        <v>900000</v>
      </c>
    </row>
    <row r="17" spans="4:5">
      <c r="D17" s="59" t="s">
        <v>214</v>
      </c>
      <c r="E17" s="60">
        <f>Base_DRE!M4</f>
        <v>697500</v>
      </c>
    </row>
    <row r="18" spans="4:5">
      <c r="D18" s="59" t="s">
        <v>215</v>
      </c>
      <c r="E18" s="60">
        <f>Base_DRE!M5</f>
        <v>1350000</v>
      </c>
    </row>
    <row r="19" spans="4:5">
      <c r="D19" s="59" t="s">
        <v>216</v>
      </c>
      <c r="E19" s="60">
        <f>Base_DRE!M6</f>
        <v>637500</v>
      </c>
    </row>
    <row r="20" spans="4:5">
      <c r="D20" s="59" t="s">
        <v>217</v>
      </c>
      <c r="E20" s="60">
        <f>Base_DRE!M7</f>
        <v>615000</v>
      </c>
    </row>
  </sheetData>
  <mergeCells count="2">
    <mergeCell ref="D3:E3"/>
    <mergeCell ref="D4:E4"/>
  </mergeCells>
  <printOptions>
    <extLst>
      <ext uri="smNativeData">
        <pm:pageFlags xmlns:pm="smNativeData" id="1792887725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92887725" l="56" r="56" t="56" b="56" borderId="0" fillId="0" vertical="0"/>
        <pm:footer xmlns:pm="smNativeData" id="1792887725" l="56" r="56" t="56" b="56" borderId="0" fillId="0" vertical="2"/>
        <pm:paperBin xmlns:pm="smNativeData" id="1792887725" Id="0" type="0" value="0"/>
        <pm:paperBin xmlns:pm="smNativeData" id="1792887725" Id="1" type="0" value="0"/>
      </ext>
    </extLst>
  </headerFooter>
  <drawing r:id="rId1"/>
  <extLst>
    <ext uri="smNativeData">
      <pm:sheetPrefs xmlns:pm="smNativeData" day="17928877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</cp:lastModifiedBy>
  <cp:revision>0</cp:revision>
  <dcterms:created xsi:type="dcterms:W3CDTF">2026-09-29T01:36:38Z</dcterms:created>
  <dcterms:modified xsi:type="dcterms:W3CDTF">2026-10-25T00:22:05Z</dcterms:modified>
</cp:coreProperties>
</file>